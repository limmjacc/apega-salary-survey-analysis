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 yWindow="-12" windowWidth="23256" windowHeight="9576"/>
  </bookViews>
  <sheets>
    <sheet name="Responsibility Level_Macro" sheetId="9" r:id="rId1"/>
    <sheet name="HelperList2" sheetId="10" state="veryHidden" r:id="rId2"/>
  </sheets>
  <definedNames>
    <definedName name="Aboriginal_Status">#REF!</definedName>
    <definedName name="APEGA_Aboriginal_Status">#REF!</definedName>
    <definedName name="APEGA_Education_Doctorate">#REF!</definedName>
    <definedName name="APEGA_Education_Masters">#REF!</definedName>
    <definedName name="APEGA_Engineers_Break">#REF!</definedName>
    <definedName name="APEGA_Engineers_Discipline">#REF!</definedName>
    <definedName name="APEGA_Gender">#REF!</definedName>
    <definedName name="APEGA_Geoscientists_Break">#REF!</definedName>
    <definedName name="APEGA_IsYourDataExist">#REF!</definedName>
    <definedName name="APEGA_JOB">#REF!</definedName>
    <definedName name="APEGA_LEVEL">#REF!</definedName>
    <definedName name="APEGA_LevelRatingPoints">'Responsibility Level_Macro'!$P$216</definedName>
    <definedName name="APEGA_License">#REF!</definedName>
    <definedName name="APEGA_Location">#REF!</definedName>
    <definedName name="APEGA_Total_Sample">#REF!</definedName>
    <definedName name="APEGA_Years_of_Experience">#REF!</definedName>
    <definedName name="Discipline">#REF!</definedName>
    <definedName name="Education_Doctorate">#REF!</definedName>
    <definedName name="Education_Masters">#REF!</definedName>
    <definedName name="Engineers">#REF!</definedName>
    <definedName name="Gender">#REF!</definedName>
    <definedName name="Geoscientists">#REF!</definedName>
    <definedName name="Location">#REF!</definedName>
    <definedName name="Total_Sample">#REF!</definedName>
    <definedName name="Years_of_Experience">#REF!</definedName>
  </definedNames>
  <calcPr calcId="145621"/>
</workbook>
</file>

<file path=xl/calcChain.xml><?xml version="1.0" encoding="utf-8"?>
<calcChain xmlns="http://schemas.openxmlformats.org/spreadsheetml/2006/main">
  <c r="AM198" i="9" l="1"/>
  <c r="AM197" i="9"/>
  <c r="AM196" i="9"/>
  <c r="AM195" i="9"/>
  <c r="AM185" i="9"/>
  <c r="AM184" i="9"/>
  <c r="AM183" i="9"/>
  <c r="AM182" i="9"/>
  <c r="AM181" i="9"/>
  <c r="AM172" i="9"/>
  <c r="AM171" i="9"/>
  <c r="AM170" i="9"/>
  <c r="AM169" i="9"/>
  <c r="AM168" i="9"/>
  <c r="AM159" i="9"/>
  <c r="AM158" i="9"/>
  <c r="AM157" i="9"/>
  <c r="AM156" i="9"/>
  <c r="AM155" i="9"/>
  <c r="AM145" i="9"/>
  <c r="AM144" i="9"/>
  <c r="AM143" i="9"/>
  <c r="AM142" i="9"/>
  <c r="AM141" i="9"/>
  <c r="AM140" i="9"/>
  <c r="AM139" i="9"/>
  <c r="AM138" i="9"/>
  <c r="AM137" i="9"/>
  <c r="AM136" i="9"/>
  <c r="AM135" i="9"/>
  <c r="AM134" i="9"/>
  <c r="AM133" i="9"/>
  <c r="AM132" i="9"/>
  <c r="AM131" i="9"/>
  <c r="AM130" i="9"/>
  <c r="AM129" i="9"/>
  <c r="AM120" i="9"/>
  <c r="AM119" i="9"/>
  <c r="AM118" i="9"/>
  <c r="AM117" i="9"/>
  <c r="AM116" i="9"/>
  <c r="AM115" i="9"/>
  <c r="AM114" i="9"/>
  <c r="AM113" i="9"/>
  <c r="AM104" i="9"/>
  <c r="AM103" i="9"/>
  <c r="AM102" i="9"/>
  <c r="AM101" i="9"/>
  <c r="AM100" i="9"/>
  <c r="AM99" i="9"/>
  <c r="AM98" i="9"/>
  <c r="AM97" i="9"/>
  <c r="AM88" i="9"/>
  <c r="AM87" i="9"/>
  <c r="AM86" i="9"/>
  <c r="AM85" i="9"/>
  <c r="AM84" i="9"/>
  <c r="AM83" i="9"/>
  <c r="AM82" i="9"/>
  <c r="AM81" i="9"/>
  <c r="AM80" i="9"/>
  <c r="AM79" i="9"/>
  <c r="AM78" i="9"/>
  <c r="AM77" i="9"/>
  <c r="AM76" i="9"/>
  <c r="AM75" i="9"/>
  <c r="AM66" i="9"/>
  <c r="AM65" i="9"/>
  <c r="AM64" i="9"/>
  <c r="AM63" i="9"/>
  <c r="AM62" i="9"/>
  <c r="AM61" i="9"/>
  <c r="AM60" i="9"/>
  <c r="AM59" i="9"/>
  <c r="AM58" i="9"/>
  <c r="AM57" i="9"/>
  <c r="AM56" i="9"/>
  <c r="AM55" i="9"/>
  <c r="AM54" i="9"/>
  <c r="AM53" i="9"/>
  <c r="AM52" i="9"/>
  <c r="AM51" i="9"/>
  <c r="AM42" i="9"/>
  <c r="AM41" i="9"/>
  <c r="AM40" i="9"/>
  <c r="AM31" i="9"/>
  <c r="AM30" i="9"/>
  <c r="AM29" i="9"/>
  <c r="AM28" i="9"/>
  <c r="AM27" i="9"/>
  <c r="AM26" i="9"/>
  <c r="AM25" i="9"/>
  <c r="AM24" i="9"/>
  <c r="AM23" i="9"/>
  <c r="AM22" i="9"/>
  <c r="AM21" i="9"/>
  <c r="AM20" i="9"/>
  <c r="AM19" i="9"/>
  <c r="AM18" i="9"/>
  <c r="AM89" i="9" l="1"/>
  <c r="P208" i="9" s="1"/>
  <c r="AM199" i="9"/>
  <c r="P215" i="9" s="1"/>
  <c r="AM186" i="9"/>
  <c r="P214" i="9" s="1"/>
  <c r="AM173" i="9"/>
  <c r="P213" i="9" s="1"/>
  <c r="AM160" i="9"/>
  <c r="P212" i="9" s="1"/>
  <c r="AM43" i="9"/>
  <c r="P206" i="9" s="1"/>
  <c r="AM121" i="9"/>
  <c r="P210" i="9" s="1"/>
  <c r="AM146" i="9"/>
  <c r="P211" i="9" s="1"/>
  <c r="AM105" i="9"/>
  <c r="P209" i="9" s="1"/>
  <c r="AM67" i="9"/>
  <c r="P207" i="9" s="1"/>
  <c r="AM32" i="9"/>
  <c r="P205" i="9" s="1"/>
  <c r="P216" i="9" l="1"/>
</calcChain>
</file>

<file path=xl/sharedStrings.xml><?xml version="1.0" encoding="utf-8"?>
<sst xmlns="http://schemas.openxmlformats.org/spreadsheetml/2006/main" count="260" uniqueCount="191">
  <si>
    <t xml:space="preserve"> APEGA 2016 Value of Professional Services Salary Survey</t>
  </si>
  <si>
    <t>Advanced Method of Determining Responsibility Level</t>
  </si>
  <si>
    <t>It is vital that you accurately determine your employee’s responsibility category, as interpretation of the salary survey results depends on this. There are 3 steps to determine the responsibility level of the job, they are: 
The following macro provides a method for determining responsibility level.  The advanced method of determining responsibility level is more precise and accurate as it considers several different aspects to the job, including: duties, education, experience, decisions, supervision received, leadership authority, supervision scope, physical demands, job environment, job travel, and accident and health hazards.  It is subjective to honesty.  To ensure accuracy, if you believe the employee is between categories, chose the lower category.  The descriptions for each job factor are also quite general and will not exactly match every possible job and it is recommended you chose the category that most closely describes the current job.</t>
  </si>
  <si>
    <t>Step 1 :</t>
  </si>
  <si>
    <t>Read through the 11 Factor Descriptions and responsibility levels for each job factor (by clicking the link for each level provided). After choosing the most appropriate responsibility level go to Step 2.</t>
  </si>
  <si>
    <t>Step 2 :</t>
  </si>
  <si>
    <t>For each Factor (Factor 1 to Factor 11) determine the most accurate level and Enter X in the cell immediately to the left of the description.</t>
  </si>
  <si>
    <t>Step 3 :</t>
  </si>
  <si>
    <t>Once each factor has been completed, check "Your Point Rating" table at the bottom of this worksheet to determine your Responsibility Level.</t>
  </si>
  <si>
    <t>IMPORTANT:</t>
  </si>
  <si>
    <t>YOU MUST SELECT ONE OPTION FROM EACH FACTOR</t>
  </si>
  <si>
    <t>Factor 1 : Duties</t>
  </si>
  <si>
    <t>This factor is concerned with the general nature of duties assigned to the current position.</t>
  </si>
  <si>
    <t>Duties Description</t>
  </si>
  <si>
    <t>Level</t>
  </si>
  <si>
    <t>Points</t>
  </si>
  <si>
    <t>Co-op / Intern Student</t>
  </si>
  <si>
    <t>A-</t>
  </si>
  <si>
    <t>1. Receives training in the various phases of office, plant, field or laboratory engineering/geoscience work as classroom instruction or "on-the-job" assignments. Tasks assigned include: preparation of simple plans, designs, calculations, costs and bills of material in accordance with established codes, standards, drawings or other specifications. May carry out routine technical surveys or inspections and prepare reports.</t>
  </si>
  <si>
    <t>A</t>
  </si>
  <si>
    <t xml:space="preserve">Combination of duties described in both 1. &amp;  2. </t>
  </si>
  <si>
    <t>A &amp; B</t>
  </si>
  <si>
    <t>2. Receives assignment of limited scope and complexity, usually minor phases of broader assignments. Uses a variety of standard engineering/geoscience methods and techniques in solving problems. Assists in carrying out technical tasks requiring accuracy in calculations, completeness of data and adherence to prescribed testing analysis, design or computation methods.</t>
  </si>
  <si>
    <t>B</t>
  </si>
  <si>
    <t>Combination of duties described in both 2. &amp; 3.</t>
  </si>
  <si>
    <t>B &amp; C</t>
  </si>
  <si>
    <t>3. This is typically regarded as a fully qualified professional engineering level. Carries out responsible and varied engineering /geoscience assignments, requiring general familiarity with a broad field of engineering/geoscience and knowledge of reciprocal effects of the work upon other fields. Problems usually solved by use of combination of standard procedures, or methods developed in previous assignments. Participates in planning to achieve prescribed objectives.</t>
  </si>
  <si>
    <t>C</t>
  </si>
  <si>
    <t>Combination of duties described in both 3 &amp; 4.</t>
  </si>
  <si>
    <t>C &amp; D</t>
  </si>
  <si>
    <t>4. This is typically regarded as a fully qualified professional engineering level. Carries out responsible and varied engineering/geoscience complex assignments, requiring general familiarity with a broad field of engineering/ geoscience and knowledge of reciprocal effects of the work upon other fields. Problems usually solved by use of combination of standard procedures, or methods developed in previous assignments. Participates in planning to achieve prescribed objectives. Typically this is the first level of full specialization.</t>
  </si>
  <si>
    <t>D</t>
  </si>
  <si>
    <t xml:space="preserve">Combination of duties described in both 4. &amp; 5. </t>
  </si>
  <si>
    <t>D &amp; E</t>
  </si>
  <si>
    <t>5. Typically requires knowledge of more than one field of engineering/ geoscience or performance by an engineering/geoscience specialist in a particular field of engineering/geoscience. Participates in short and long range planning; makes independent decisions on work methods and procedures within an overall program. Originality and ingenuity are required for devising practical and economical solutions to problems.</t>
  </si>
  <si>
    <t>E</t>
  </si>
  <si>
    <t xml:space="preserve">Combination of duties described in both 5. &amp; 6. </t>
  </si>
  <si>
    <t>E &amp; F</t>
  </si>
  <si>
    <t>6. Usually responsible for an engineering/geoscience administrative function, directing several professional and other groups engaged in interrelated engineering/geoscience responsibilities; or as an engineering/geoscience consultant, achieving recognition as an authority in an engineering/geoscience field of major importance to the company. Independently conceives programs and problems to be investigated. Participates in discussion determining basic operating policies, devising ways of reaching program objectives in the most economical manner and of meeting any unusual conditions affecting work progress.</t>
  </si>
  <si>
    <t>F</t>
  </si>
  <si>
    <t>Combination of duties described in both 6. &amp; 7.</t>
  </si>
  <si>
    <t>F &amp; F+</t>
  </si>
  <si>
    <t>7. Within the framework of general policy, conceives independent programs and problems to be investigated. Plans or approves projects requiring the expenditure of a considerable amount of manpower and financial investment. Determines basic operating policies, and solves primary problems or programs to accomplish objectives in the most economical manner to meet any unusual condition.</t>
  </si>
  <si>
    <t>F+</t>
  </si>
  <si>
    <t>Factor 2 : Type of Education for Position</t>
  </si>
  <si>
    <r>
      <t xml:space="preserve">This factor is to determine the educational requirements for the current position. 
</t>
    </r>
    <r>
      <rPr>
        <b/>
        <sz val="11"/>
        <rFont val="Arial"/>
        <family val="2"/>
      </rPr>
      <t>This is not personal educational experience</t>
    </r>
    <r>
      <rPr>
        <sz val="11"/>
        <rFont val="Arial"/>
        <family val="2"/>
      </rPr>
      <t>, but what would be posted if the job was to be filled externally.</t>
    </r>
  </si>
  <si>
    <t>Type of Education for the Position</t>
  </si>
  <si>
    <t>Bachelor’s Degree (or equivalent)</t>
  </si>
  <si>
    <t>Master’s Degree</t>
  </si>
  <si>
    <t>Doctorate’s Degree</t>
  </si>
  <si>
    <t>Job Factor 3 : Experience Required for Position</t>
  </si>
  <si>
    <r>
      <t xml:space="preserve">This factor is to determine the experience requirements for the current position.  
</t>
    </r>
    <r>
      <rPr>
        <b/>
        <sz val="11"/>
        <rFont val="Arial"/>
        <family val="2"/>
      </rPr>
      <t>This is not individual work experience</t>
    </r>
    <r>
      <rPr>
        <sz val="11"/>
        <rFont val="Arial"/>
        <family val="2"/>
      </rPr>
      <t>, but what would be posted if the job was to be filled externally.</t>
    </r>
  </si>
  <si>
    <t>Type of Experience for the Position</t>
  </si>
  <si>
    <t>&lt; 1 year</t>
  </si>
  <si>
    <t>1 year</t>
  </si>
  <si>
    <t>1.5 years</t>
  </si>
  <si>
    <t>2 years</t>
  </si>
  <si>
    <t>3 years</t>
  </si>
  <si>
    <t>4 years</t>
  </si>
  <si>
    <t>5 years</t>
  </si>
  <si>
    <t>6 years</t>
  </si>
  <si>
    <t>7 to 8 years</t>
  </si>
  <si>
    <t>9 to 10 years</t>
  </si>
  <si>
    <t>11 to 12 years</t>
  </si>
  <si>
    <t>13 to 14 years</t>
  </si>
  <si>
    <t>15 to 17 years</t>
  </si>
  <si>
    <t>18 to 20 years</t>
  </si>
  <si>
    <t>21 to 24 years</t>
  </si>
  <si>
    <t>&gt; 25 years</t>
  </si>
  <si>
    <t>Job Factor 4 : Decision Making</t>
  </si>
  <si>
    <t>Outlined below is a summary of the duties, for complete detail, please follow individual links.</t>
  </si>
  <si>
    <t>This factor is to quantify the number of decisions, commitments, and recommendations that come from the current position.</t>
  </si>
  <si>
    <t>Decision Making Description</t>
  </si>
  <si>
    <t>1. Decisions are routine in nature, usually based on clearly defined procedures, makes few independent technical decisions and hardly any independent recommendations.</t>
  </si>
  <si>
    <t>2. Decisions are based on established guidelines, may make independent technical divisions within a project, but final decisions &amp; recommendations are made by more senior staff. Recommendation are limited to solutions of assigned problem rather than impact of the solution.</t>
  </si>
  <si>
    <t>3. Decisions encompass financial, social, environment impact within the company. Independent technical decisions and recommendations made for small projects/studies.  Only difficult, complex or unusual problems are  referred to more senior staff.</t>
  </si>
  <si>
    <t xml:space="preserve">4. Decisions involve financial, social, environmental &amp; organizational impact both internally and externally. Independent decisions &amp; recommendations for large independent projects and/or several small independent projects. </t>
  </si>
  <si>
    <t>5. Decisions may impact the company as a whole, but not necessarily involved in decisions for long-range planning nor involving large sums of money.  Recommendations and decisions are made for several large independent projects.</t>
  </si>
  <si>
    <t>6. Decisions involve policy matters, major programs and the expenditure of large sums of money. Recommendations and decisions are made for the majority of departments within the company and will impact the entire company and at least several departments.</t>
  </si>
  <si>
    <t>7. Decisions involve financial, social, environmental, and organizational impact both internally and externally, and are for long-range planning, coordination and management either specific or long-range in nature. Recommendations impact both the company and possibly provincial wide industry/economy.</t>
  </si>
  <si>
    <t>Job Factor 5 : Supervisor Interaction and Work Review</t>
  </si>
  <si>
    <t xml:space="preserve">This factor is concerned with the degree to which the employee’s direct supervisor has to be involved with their work duties.  </t>
  </si>
  <si>
    <t>Supervision Interaction and Work Review Description</t>
  </si>
  <si>
    <t xml:space="preserve">1. Reports to supervisor who has up to 5 direct report. Works under close supervision and technical guidance with regular daily interaction with supervisor. Work is reviewed daily to weekly for accuracy, adequacy and conformance with procedures. </t>
  </si>
  <si>
    <t xml:space="preserve">2. Reports to supervisor who has up to 10 direct reports. Works under supervision and technical guidance with regular weekly interaction with supervisor. Work is reviewed weekly to monthly for accuracy, adequacy and conformance with procedures. </t>
  </si>
  <si>
    <t>3. Reports to supervisor who has up to 50 direct and indirect reports. Works under supervision and self-initiated technical guidance with regular weekly to monthly interaction with supervisor.  Work is reviewed occasionally for accuracy.  Broad duties are assigned on monthly basis.</t>
  </si>
  <si>
    <t xml:space="preserve">4. Reports to supervisor who has up to 50 direct and indirect reports. Works with self-initiated interaction with supervisor and self-initiated technical guidance. Work is reviewed to ensure policy conformity and soundness of approach. Broad duties assigned at beginning of projects. </t>
  </si>
  <si>
    <t xml:space="preserve">5. Reports to supervisor who has up to 100 direct and indirect reports.  Work with self-initiated interaction with supervisor and self-initiated technical guidance. Work is reviewed to ensure conformity with policy and for coordination of other company departments. Broad duties with authority to influence duties. </t>
  </si>
  <si>
    <t xml:space="preserve">6. Reports to supervisor who has over 100 direct and indirect reports. Work with self-initiated interaction with supervisor and self-initiated technical guidance. Work is reviewed to ensure conformity with policy and for coordination of other company departments. Influence over duties. </t>
  </si>
  <si>
    <t xml:space="preserve">7. Reports directly to company owners. Works with occasional international with company owners. Influence over duties.  Work is reviewed to ensure company direction meets company vision and mission. </t>
  </si>
  <si>
    <t xml:space="preserve">Job Factor 6 : Employee’s Supervisory Authority </t>
  </si>
  <si>
    <t>This factor is concerned with the authority that the position holds as it pertains to direct and indirect reports to the position.</t>
  </si>
  <si>
    <t>Your Supervisor Authority Description</t>
  </si>
  <si>
    <t>1. No in/direct employee authority, does not assign work to anyone.</t>
  </si>
  <si>
    <t>2. Assigns &amp; checks work of 1 or 5 technicians/staff, but has no performance evaluation authority.</t>
  </si>
  <si>
    <t>3. Has direct reports (technicians &amp; professionals), assigns activities &amp; provides technical guidance for a common project, but has no performance evaluation authority.</t>
  </si>
  <si>
    <t>4. Has direct reports (all staff types), assigns project work &amp; provides technical guidance on several projects. Has performance evaluation authority.</t>
  </si>
  <si>
    <t>5. Has direct reports (all staff types), assigns small projects &amp; provides guidance to engineers/geoscientists. Has performance evaluation authority.</t>
  </si>
  <si>
    <t>6. Has in/direct reports, assigns large projects and provides policy guidance to engineers/geoscientists. Has performed evaluation authority.</t>
  </si>
  <si>
    <t>7. Has in/direct reports, assigns program work that involves several large projects and sets policy framework for project work. Has performance evaluation authority.</t>
  </si>
  <si>
    <t>8. Has in/direct reports, assigns policy framework, long-term mission &amp; vision. Has performance evaluation authority.</t>
  </si>
  <si>
    <t>Job Factor 7 : Employee’s Supervisory Extent</t>
  </si>
  <si>
    <r>
      <t>This factor is concerned with the number of people that the employee directly or indirectly supervises. The number should include the direct reports as well as indirect reports (i.e. if the employee supervises 3 people and each of those people has a team of 5, the total will be 15).  Since numbers will vary depending on factors such as shift work, seasonal work, etc., the number should be considered a yearly average.  The definition of “supervise” for this factor means that employees are required to supervise day-to-day duties,</t>
    </r>
    <r>
      <rPr>
        <b/>
        <sz val="11"/>
        <rFont val="Arial"/>
        <family val="2"/>
      </rPr>
      <t xml:space="preserve"> or are responsible for management of project teams (short or long-term) and </t>
    </r>
    <r>
      <rPr>
        <b/>
        <sz val="11"/>
        <color rgb="FFFF0000"/>
        <rFont val="Arial"/>
        <family val="2"/>
      </rPr>
      <t>may</t>
    </r>
    <r>
      <rPr>
        <b/>
        <sz val="11"/>
        <rFont val="Arial"/>
        <family val="2"/>
      </rPr>
      <t xml:space="preserve"> have</t>
    </r>
    <r>
      <rPr>
        <sz val="11"/>
        <rFont val="Arial"/>
        <family val="2"/>
      </rPr>
      <t xml:space="preserve"> the authority over performance evaluations that impact pay for their direct and indirect reports.</t>
    </r>
  </si>
  <si>
    <t>Your Direct and Indirect Reports</t>
  </si>
  <si>
    <t>0 (0% of company)</t>
  </si>
  <si>
    <t>2 to 3</t>
  </si>
  <si>
    <t>4 to 7</t>
  </si>
  <si>
    <t>8 to 13</t>
  </si>
  <si>
    <t>14 to 20</t>
  </si>
  <si>
    <t>21 to 30</t>
  </si>
  <si>
    <t>31 to 40</t>
  </si>
  <si>
    <t>41 to 50</t>
  </si>
  <si>
    <t>51 to 75</t>
  </si>
  <si>
    <t>76 to 100</t>
  </si>
  <si>
    <t>101 to 200</t>
  </si>
  <si>
    <t>201 to 400</t>
  </si>
  <si>
    <t>401 to 750</t>
  </si>
  <si>
    <t>751 to 1200 (50% of company)</t>
  </si>
  <si>
    <t>1201 to 2000</t>
  </si>
  <si>
    <t>Over 2000 (100% of company)</t>
  </si>
  <si>
    <t>Job Factor 8 : Physical Demands</t>
  </si>
  <si>
    <t>Not Applicable</t>
  </si>
  <si>
    <t>Limited</t>
  </si>
  <si>
    <t>Occasional</t>
  </si>
  <si>
    <t>Frequent</t>
  </si>
  <si>
    <t>Continuous</t>
  </si>
  <si>
    <t>1. Inside Building; standing or moving about</t>
  </si>
  <si>
    <t>2. Outside Building; walking over rough ground, climbing etc.</t>
  </si>
  <si>
    <t>3. Heavy Physical exertion (e.g., lifting)</t>
  </si>
  <si>
    <t>4. Visual concentration (e.g., drafting)</t>
  </si>
  <si>
    <t>5. Mental Concentration</t>
  </si>
  <si>
    <t>Job Factor 9 : Job Environment</t>
  </si>
  <si>
    <t>This factor is to account for the job environment that the employee is exposed to regularly.</t>
  </si>
  <si>
    <t>Job Environment Description</t>
  </si>
  <si>
    <t>1. Office environment.</t>
  </si>
  <si>
    <t>2. Usually office environment with occasional shop, plant, or laboratory environment.  Little to no exposure to dirt, heat, noise, fumes, weather, etc.</t>
  </si>
  <si>
    <t>3. Shop, plant, or laboratory environment.  Occasional exposure to dirt, heat, noise, fumes, weather, etc.</t>
  </si>
  <si>
    <t>4. Shop, plant, or laboratory environment. Continual exposure to dirt, heat, noise, fumes, weather, etc.</t>
  </si>
  <si>
    <t>5. Shop, plant, or laboratory environment. Continual exposure to dirt, heat, noise, fumes, weather, etc. and other extreme/disagreeable factors.</t>
  </si>
  <si>
    <t>Job Factor 10 : Job Related Travel</t>
  </si>
  <si>
    <t>This factor pertains to travel demands of the job that take the employee away from the base of operations.</t>
  </si>
  <si>
    <t>Job Related Travel Description</t>
  </si>
  <si>
    <t>1. No travel</t>
  </si>
  <si>
    <t>2. Occasional travel for a few days length; Irregular basis (e.g. for training, conferences)</t>
  </si>
  <si>
    <t>3. Occasional travel for up to a week length or over weekends; Irregular basis</t>
  </si>
  <si>
    <t>4. Frequent travel for up to several weeks; Regular basis</t>
  </si>
  <si>
    <t>5. Frequent travel for up to several months; Regular basis</t>
  </si>
  <si>
    <t>Job Factor 11 : Job Safety</t>
  </si>
  <si>
    <t>1. Low</t>
  </si>
  <si>
    <t>2. Moderate</t>
  </si>
  <si>
    <t>3. High</t>
  </si>
  <si>
    <t>4. Extreme</t>
  </si>
  <si>
    <t>Your Point Rating Table</t>
  </si>
  <si>
    <t>Job Factor</t>
  </si>
  <si>
    <t>Your Point Rating</t>
  </si>
  <si>
    <r>
      <t>1.</t>
    </r>
    <r>
      <rPr>
        <sz val="7"/>
        <rFont val="Times New Roman"/>
        <family val="1"/>
      </rPr>
      <t xml:space="preserve">     </t>
    </r>
    <r>
      <rPr>
        <sz val="10"/>
        <rFont val="Arial"/>
        <family val="2"/>
      </rPr>
      <t>Duties</t>
    </r>
  </si>
  <si>
    <r>
      <t>2.</t>
    </r>
    <r>
      <rPr>
        <sz val="7"/>
        <rFont val="Times New Roman"/>
        <family val="1"/>
      </rPr>
      <t xml:space="preserve">     </t>
    </r>
    <r>
      <rPr>
        <sz val="10"/>
        <rFont val="Arial"/>
        <family val="2"/>
      </rPr>
      <t>Education Required for the Position</t>
    </r>
  </si>
  <si>
    <r>
      <t>3.</t>
    </r>
    <r>
      <rPr>
        <sz val="7"/>
        <rFont val="Times New Roman"/>
        <family val="1"/>
      </rPr>
      <t>   </t>
    </r>
    <r>
      <rPr>
        <sz val="10"/>
        <rFont val="Arial"/>
        <family val="2"/>
      </rPr>
      <t xml:space="preserve"> Experience Required for the Position</t>
    </r>
  </si>
  <si>
    <r>
      <t>4.</t>
    </r>
    <r>
      <rPr>
        <sz val="7"/>
        <rFont val="Times New Roman"/>
        <family val="1"/>
      </rPr>
      <t xml:space="preserve">     </t>
    </r>
    <r>
      <rPr>
        <sz val="10"/>
        <rFont val="Arial"/>
        <family val="2"/>
      </rPr>
      <t>Decision Making</t>
    </r>
  </si>
  <si>
    <r>
      <t>5.</t>
    </r>
    <r>
      <rPr>
        <sz val="7"/>
        <rFont val="Times New Roman"/>
        <family val="1"/>
      </rPr>
      <t xml:space="preserve">     </t>
    </r>
    <r>
      <rPr>
        <sz val="10"/>
        <rFont val="Arial"/>
        <family val="2"/>
      </rPr>
      <t>Supervision Received</t>
    </r>
  </si>
  <si>
    <r>
      <t>6.</t>
    </r>
    <r>
      <rPr>
        <sz val="7"/>
        <rFont val="Times New Roman"/>
        <family val="1"/>
      </rPr>
      <t xml:space="preserve">     </t>
    </r>
    <r>
      <rPr>
        <sz val="10"/>
        <rFont val="Arial"/>
        <family val="2"/>
      </rPr>
      <t>Your Supervisory Authority</t>
    </r>
  </si>
  <si>
    <r>
      <t>7.</t>
    </r>
    <r>
      <rPr>
        <sz val="7"/>
        <rFont val="Times New Roman"/>
        <family val="1"/>
      </rPr>
      <t xml:space="preserve">     </t>
    </r>
    <r>
      <rPr>
        <sz val="10"/>
        <rFont val="Arial"/>
        <family val="2"/>
      </rPr>
      <t>Your Supervisory Extent</t>
    </r>
  </si>
  <si>
    <r>
      <t>8.</t>
    </r>
    <r>
      <rPr>
        <sz val="7"/>
        <rFont val="Times New Roman"/>
        <family val="1"/>
      </rPr>
      <t xml:space="preserve">     </t>
    </r>
    <r>
      <rPr>
        <sz val="10"/>
        <rFont val="Arial"/>
        <family val="2"/>
      </rPr>
      <t>Physical Demands</t>
    </r>
  </si>
  <si>
    <r>
      <t>9.</t>
    </r>
    <r>
      <rPr>
        <sz val="7"/>
        <rFont val="Times New Roman"/>
        <family val="1"/>
      </rPr>
      <t xml:space="preserve">     </t>
    </r>
    <r>
      <rPr>
        <sz val="10"/>
        <rFont val="Arial"/>
        <family val="2"/>
      </rPr>
      <t>Job Environment</t>
    </r>
  </si>
  <si>
    <r>
      <t>10.</t>
    </r>
    <r>
      <rPr>
        <sz val="7"/>
        <rFont val="Times New Roman"/>
        <family val="1"/>
      </rPr>
      <t xml:space="preserve">  </t>
    </r>
    <r>
      <rPr>
        <sz val="10"/>
        <rFont val="Arial"/>
        <family val="2"/>
      </rPr>
      <t>Job Related Travel</t>
    </r>
  </si>
  <si>
    <r>
      <t>11.</t>
    </r>
    <r>
      <rPr>
        <sz val="7"/>
        <rFont val="Times New Roman"/>
        <family val="1"/>
      </rPr>
      <t xml:space="preserve">  </t>
    </r>
    <r>
      <rPr>
        <sz val="10"/>
        <rFont val="Arial"/>
        <family val="2"/>
      </rPr>
      <t>Safety Hazards</t>
    </r>
  </si>
  <si>
    <t>Total</t>
  </si>
  <si>
    <t>Total Points</t>
  </si>
  <si>
    <t>Responsibility Category</t>
  </si>
  <si>
    <t>Responsibility Job Title</t>
  </si>
  <si>
    <t>0 to 250</t>
  </si>
  <si>
    <t>Member-in-Training</t>
  </si>
  <si>
    <t>251 to 300</t>
  </si>
  <si>
    <t>Assistant Project Engineer / Geoscientist</t>
  </si>
  <si>
    <t>301 to 375</t>
  </si>
  <si>
    <t>Project Engineer / Geoscientist</t>
  </si>
  <si>
    <t>376 to 480</t>
  </si>
  <si>
    <t>Supervisory or Specialist Engineering / Geoscientist</t>
  </si>
  <si>
    <t>481 to 595</t>
  </si>
  <si>
    <t>Management or Advanced Specialist Engineering / Geoscientist</t>
  </si>
  <si>
    <t>596 to 700</t>
  </si>
  <si>
    <t>Senior Management or Senior Specialist Engineer / Geoscientist</t>
  </si>
  <si>
    <t>Over 700</t>
  </si>
  <si>
    <t>Executive Management or Head Specialist Engineer / Geoscientist</t>
  </si>
  <si>
    <r>
      <t xml:space="preserve">To determine an additional employee's responsibility level, click on the "Clear Entry" button highlighted in </t>
    </r>
    <r>
      <rPr>
        <b/>
        <sz val="12"/>
        <color rgb="FFFF0000"/>
        <rFont val="Arial"/>
        <family val="2"/>
      </rPr>
      <t>Red</t>
    </r>
    <r>
      <rPr>
        <b/>
        <sz val="12"/>
        <rFont val="Arial"/>
        <family val="2"/>
      </rPr>
      <t xml:space="preserve"> below.</t>
    </r>
  </si>
  <si>
    <t>Physical Effort Intensity</t>
  </si>
  <si>
    <t>Safety Hazard Intensity</t>
  </si>
  <si>
    <t>This factor pertains to the job conditions in relation to exposure and intensity of safety hazards. It is understood that employers will have the necessary safety precautions in place to reduce the risks around the safety hazards. Only the most prevalent safety hazards should be considered, not remote possibilities. First find the safety hazard intensity (e.g. moderate) and then select the frequency level (e.g. occasional) from the dropdown list, which would result in a job safety point’s level of 5.</t>
  </si>
  <si>
    <t>This factor is concerned with the intensity and severity of the physical effort required for the job. Also considered is the frequency and continuity of that effort.  First find the physical effort intensity (e.g. heavy physical exertion) and then select the frequency of that intensity level (e.g. occasional) from the dropdown list, which would result in a physical demands point level of 15. The level that is chosen should most closely describe the current situation.</t>
  </si>
  <si>
    <t>JOB FACTOR 8/11</t>
  </si>
  <si>
    <t>If the resulting Responsibility Level does not seem accurate, compare your Job Factor Ratings to the Job Classification Flowchart by Level of Responsibility in the PEG document. If you require further assistance, please contact APEGA at salarysurvey@apega.</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</si>
</sst>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0"/>
      <color theme="1"/>
      <name val="Calibri"/>
      <family val="2"/>
      <scheme val="minor"/>
    </font>
    <font>
      <b/>
      <sz val="12"/>
      <name val="Arial"/>
      <family val="2"/>
    </font>
    <font>
      <sz val="9"/>
      <name val="Arial"/>
      <family val="2"/>
    </font>
    <font>
      <sz val="9"/>
      <color rgb="FF31869B"/>
      <name val="Arial"/>
      <family val="2"/>
    </font>
    <font>
      <b/>
      <sz val="16"/>
      <name val="Arial"/>
      <family val="2"/>
    </font>
    <font>
      <sz val="10"/>
      <name val="Arial"/>
      <family val="2"/>
    </font>
    <font>
      <b/>
      <sz val="14"/>
      <color rgb="FF0070C0"/>
      <name val="Arial"/>
      <family val="2"/>
    </font>
    <font>
      <sz val="12"/>
      <name val="Arial"/>
      <family val="2"/>
    </font>
    <font>
      <b/>
      <sz val="12"/>
      <color rgb="FFFF0000"/>
      <name val="Arial"/>
      <family val="2"/>
    </font>
    <font>
      <b/>
      <sz val="12"/>
      <color rgb="FFFFFFFF"/>
      <name val="Arial"/>
      <family val="2"/>
    </font>
    <font>
      <b/>
      <sz val="11"/>
      <color rgb="FFFF0000"/>
      <name val="Arial"/>
      <family val="2"/>
    </font>
    <font>
      <b/>
      <sz val="9"/>
      <color rgb="FFFF0000"/>
      <name val="Arial"/>
      <family val="2"/>
    </font>
    <font>
      <b/>
      <sz val="9"/>
      <name val="Arial"/>
      <family val="2"/>
    </font>
    <font>
      <sz val="11"/>
      <name val="Arial"/>
      <family val="2"/>
    </font>
    <font>
      <b/>
      <sz val="9"/>
      <color rgb="FFFFFFFF"/>
      <name val="Arial"/>
      <family val="2"/>
    </font>
    <font>
      <b/>
      <sz val="12"/>
      <color rgb="FF00B0F0"/>
      <name val="Arial"/>
      <family val="2"/>
    </font>
    <font>
      <sz val="9"/>
      <color rgb="FF000000"/>
      <name val="Arial"/>
      <family val="2"/>
    </font>
    <font>
      <sz val="9"/>
      <color rgb="FFFFFFFF"/>
      <name val="Arial"/>
      <family val="2"/>
    </font>
    <font>
      <sz val="9"/>
      <color rgb="FFDCE6F1"/>
      <name val="Arial"/>
      <family val="2"/>
    </font>
    <font>
      <b/>
      <sz val="11"/>
      <name val="Arial"/>
      <family val="2"/>
    </font>
    <font>
      <sz val="9"/>
      <name val="Calibri"/>
      <family val="2"/>
    </font>
    <font>
      <b/>
      <sz val="9"/>
      <color rgb="FF00B0F0"/>
      <name val="Arial"/>
      <family val="2"/>
    </font>
    <font>
      <b/>
      <sz val="11"/>
      <color rgb="FFFFFFFF"/>
      <name val="Arial"/>
      <family val="2"/>
    </font>
    <font>
      <b/>
      <sz val="10"/>
      <color rgb="FFFFFFFF"/>
      <name val="Arial"/>
      <family val="2"/>
    </font>
    <font>
      <sz val="7"/>
      <name val="Times New Roman"/>
      <family val="1"/>
    </font>
    <font>
      <b/>
      <sz val="12"/>
      <color rgb="FF000000"/>
      <name val="Arial"/>
      <family val="2"/>
    </font>
  </fonts>
  <fills count="11">
    <fill>
      <patternFill patternType="none"/>
    </fill>
    <fill>
      <patternFill patternType="gray125"/>
    </fill>
    <fill>
      <patternFill patternType="solid">
        <fgColor rgb="FFFFFFFF"/>
        <bgColor rgb="FF000000"/>
      </patternFill>
    </fill>
    <fill>
      <patternFill patternType="solid">
        <fgColor rgb="FFD9D9D9"/>
        <bgColor rgb="FF000000"/>
      </patternFill>
    </fill>
    <fill>
      <patternFill patternType="solid">
        <fgColor rgb="FF00B0F0"/>
        <bgColor rgb="FF000000"/>
      </patternFill>
    </fill>
    <fill>
      <patternFill patternType="solid">
        <fgColor rgb="FFFFFFCC"/>
        <bgColor rgb="FF000000"/>
      </patternFill>
    </fill>
    <fill>
      <patternFill patternType="solid">
        <fgColor rgb="FFDCE6F1"/>
        <bgColor rgb="FF000000"/>
      </patternFill>
    </fill>
    <fill>
      <patternFill patternType="solid">
        <fgColor rgb="FF92D050"/>
        <bgColor rgb="FF000000"/>
      </patternFill>
    </fill>
    <fill>
      <patternFill patternType="solid">
        <fgColor rgb="FFFFFF00"/>
        <bgColor rgb="FF000000"/>
      </patternFill>
    </fill>
    <fill>
      <patternFill patternType="solid">
        <fgColor theme="0"/>
        <bgColor indexed="64"/>
      </patternFill>
    </fill>
    <fill>
      <patternFill patternType="solid">
        <fgColor theme="0"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1">
    <xf numFmtId="0" fontId="0" fillId="0" borderId="0"/>
  </cellStyleXfs>
  <cellXfs count="85">
    <xf numFmtId="0" fontId="0" fillId="0" borderId="0" xfId="0"/>
    <xf numFmtId="0" fontId="2" fillId="2" borderId="0" xfId="0" applyFont="1" applyFill="1" applyBorder="1" applyAlignment="1" applyProtection="1">
      <alignment vertical="center"/>
    </xf>
    <xf numFmtId="0" fontId="2" fillId="2" borderId="0"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5" fillId="0" borderId="0" xfId="0" applyFont="1" applyFill="1" applyBorder="1" applyProtection="1"/>
    <xf numFmtId="0" fontId="1" fillId="2" borderId="0" xfId="0" applyFont="1" applyFill="1" applyBorder="1" applyAlignment="1" applyProtection="1">
      <alignment horizontal="left" vertical="center"/>
    </xf>
    <xf numFmtId="0" fontId="2" fillId="2" borderId="0" xfId="0" applyFont="1" applyFill="1" applyBorder="1" applyAlignment="1" applyProtection="1"/>
    <xf numFmtId="0" fontId="2" fillId="3" borderId="0" xfId="0" applyFont="1" applyFill="1" applyBorder="1" applyAlignment="1" applyProtection="1">
      <alignment horizontal="center"/>
    </xf>
    <xf numFmtId="0" fontId="2" fillId="2" borderId="0" xfId="0" applyFont="1" applyFill="1" applyBorder="1" applyAlignment="1" applyProtection="1">
      <alignment horizontal="center" vertical="center"/>
      <protection locked="0"/>
    </xf>
    <xf numFmtId="0" fontId="10" fillId="2" borderId="0" xfId="0" applyFont="1" applyFill="1" applyBorder="1" applyAlignment="1" applyProtection="1">
      <alignment horizontal="left" vertical="center"/>
    </xf>
    <xf numFmtId="0" fontId="11" fillId="2" borderId="0" xfId="0" applyFont="1" applyFill="1" applyBorder="1" applyAlignment="1" applyProtection="1">
      <alignment horizontal="left" vertical="center"/>
    </xf>
    <xf numFmtId="0" fontId="12" fillId="2" borderId="0" xfId="0" applyFont="1" applyFill="1" applyBorder="1" applyAlignment="1" applyProtection="1">
      <alignment horizontal="left" vertical="center"/>
    </xf>
    <xf numFmtId="0" fontId="10" fillId="2" borderId="0" xfId="0" applyFont="1" applyFill="1" applyBorder="1" applyAlignment="1" applyProtection="1">
      <alignment vertical="center"/>
    </xf>
    <xf numFmtId="0" fontId="7" fillId="4" borderId="0" xfId="0" applyFont="1" applyFill="1" applyBorder="1" applyAlignment="1" applyProtection="1">
      <alignment vertical="center"/>
    </xf>
    <xf numFmtId="0" fontId="2" fillId="5" borderId="1" xfId="0" applyFont="1" applyFill="1" applyBorder="1" applyAlignment="1" applyProtection="1">
      <alignment horizontal="center" vertical="center"/>
      <protection locked="0"/>
    </xf>
    <xf numFmtId="0" fontId="2" fillId="7" borderId="0" xfId="0" applyFont="1" applyFill="1" applyBorder="1" applyAlignment="1" applyProtection="1">
      <alignment horizontal="center" vertical="center"/>
    </xf>
    <xf numFmtId="0" fontId="20" fillId="2" borderId="0" xfId="0" applyFont="1" applyFill="1" applyBorder="1" applyAlignment="1" applyProtection="1">
      <alignment vertical="center"/>
    </xf>
    <xf numFmtId="0" fontId="2" fillId="4" borderId="0" xfId="0" applyFont="1" applyFill="1" applyBorder="1" applyAlignment="1" applyProtection="1">
      <alignment vertical="center"/>
    </xf>
    <xf numFmtId="0" fontId="14" fillId="2" borderId="0" xfId="0" applyFont="1" applyFill="1" applyBorder="1" applyAlignment="1" applyProtection="1">
      <alignment horizontal="left" vertical="center"/>
    </xf>
    <xf numFmtId="0" fontId="13" fillId="2" borderId="0" xfId="0" applyFont="1" applyFill="1" applyBorder="1" applyAlignment="1" applyProtection="1">
      <alignment vertical="center"/>
    </xf>
    <xf numFmtId="0" fontId="7" fillId="2" borderId="0" xfId="0" applyFont="1" applyFill="1" applyBorder="1" applyAlignment="1" applyProtection="1">
      <alignment vertical="center"/>
    </xf>
    <xf numFmtId="0" fontId="12" fillId="2" borderId="0" xfId="0" applyFont="1" applyFill="1" applyBorder="1" applyAlignment="1" applyProtection="1">
      <alignment horizontal="left" vertical="center" wrapText="1"/>
    </xf>
    <xf numFmtId="0" fontId="20" fillId="6" borderId="0" xfId="0" applyFont="1" applyFill="1" applyBorder="1" applyAlignment="1" applyProtection="1">
      <alignment horizontal="center" vertical="center"/>
    </xf>
    <xf numFmtId="0" fontId="20" fillId="6" borderId="0" xfId="0" applyFont="1" applyFill="1" applyBorder="1" applyAlignment="1" applyProtection="1">
      <alignment vertical="center"/>
    </xf>
    <xf numFmtId="0" fontId="20" fillId="2" borderId="0" xfId="0" applyFont="1" applyFill="1" applyBorder="1" applyAlignment="1" applyProtection="1">
      <alignment horizontal="center" vertical="center"/>
    </xf>
    <xf numFmtId="0" fontId="14" fillId="2" borderId="0" xfId="0" applyFont="1" applyFill="1" applyBorder="1" applyAlignment="1" applyProtection="1">
      <alignment horizontal="left" vertical="center" wrapText="1"/>
    </xf>
    <xf numFmtId="0" fontId="14" fillId="2" borderId="0" xfId="0" applyFont="1" applyFill="1" applyBorder="1" applyAlignment="1" applyProtection="1">
      <alignment horizontal="center" vertical="center"/>
    </xf>
    <xf numFmtId="0" fontId="2" fillId="9" borderId="0" xfId="0" applyFont="1" applyFill="1" applyBorder="1" applyAlignment="1" applyProtection="1">
      <alignment vertical="center"/>
    </xf>
    <xf numFmtId="0" fontId="5" fillId="9" borderId="0" xfId="0" applyFont="1" applyFill="1" applyBorder="1" applyProtection="1"/>
    <xf numFmtId="0" fontId="9" fillId="4" borderId="0" xfId="0" applyFont="1" applyFill="1" applyBorder="1" applyAlignment="1" applyProtection="1">
      <alignment horizontal="left" vertical="center"/>
    </xf>
    <xf numFmtId="0" fontId="17" fillId="2" borderId="0"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8" fillId="2" borderId="0" xfId="0" applyFont="1" applyFill="1" applyBorder="1" applyAlignment="1" applyProtection="1">
      <alignment horizontal="left"/>
    </xf>
    <xf numFmtId="0" fontId="2" fillId="2" borderId="0" xfId="0" applyFont="1" applyFill="1" applyBorder="1" applyAlignment="1" applyProtection="1">
      <alignment vertical="center"/>
    </xf>
    <xf numFmtId="0" fontId="14" fillId="4" borderId="0" xfId="0" applyFont="1" applyFill="1" applyBorder="1" applyAlignment="1" applyProtection="1">
      <alignment horizontal="left" vertical="center"/>
    </xf>
    <xf numFmtId="0" fontId="9" fillId="4" borderId="0" xfId="0" applyFont="1" applyFill="1" applyBorder="1" applyAlignment="1" applyProtection="1">
      <alignment vertical="center"/>
    </xf>
    <xf numFmtId="0" fontId="2" fillId="2" borderId="0" xfId="0" applyFont="1" applyFill="1" applyBorder="1" applyAlignment="1" applyProtection="1">
      <alignment horizontal="left" vertical="center"/>
    </xf>
    <xf numFmtId="0" fontId="9" fillId="4" borderId="0" xfId="0" applyFont="1" applyFill="1" applyBorder="1" applyAlignment="1" applyProtection="1">
      <alignment vertical="center"/>
    </xf>
    <xf numFmtId="0" fontId="0" fillId="10" borderId="0" xfId="0" applyFill="1"/>
    <xf numFmtId="0" fontId="3" fillId="0" borderId="0" xfId="0" applyFont="1" applyFill="1" applyBorder="1" applyAlignment="1" applyProtection="1">
      <alignment vertical="center"/>
    </xf>
    <xf numFmtId="0" fontId="4" fillId="9" borderId="0" xfId="0" applyFont="1" applyFill="1" applyBorder="1" applyAlignment="1" applyProtection="1">
      <alignment vertical="center" wrapText="1"/>
    </xf>
    <xf numFmtId="0" fontId="6" fillId="2" borderId="0" xfId="0" applyFont="1" applyFill="1" applyBorder="1" applyAlignment="1" applyProtection="1">
      <alignment horizontal="left"/>
    </xf>
    <xf numFmtId="0" fontId="7" fillId="2" borderId="0" xfId="0" applyFont="1" applyFill="1" applyBorder="1" applyAlignment="1" applyProtection="1">
      <alignment horizontal="left" vertical="center" wrapText="1"/>
    </xf>
    <xf numFmtId="0" fontId="9" fillId="4" borderId="0" xfId="0" applyFont="1" applyFill="1" applyBorder="1" applyAlignment="1" applyProtection="1">
      <alignment horizontal="left" vertical="center"/>
    </xf>
    <xf numFmtId="0" fontId="15" fillId="4" borderId="0" xfId="0" applyFont="1" applyFill="1" applyBorder="1" applyAlignment="1" applyProtection="1">
      <alignment horizontal="center" vertical="center"/>
    </xf>
    <xf numFmtId="0" fontId="9" fillId="4" borderId="0" xfId="0" applyFont="1" applyFill="1" applyBorder="1" applyAlignment="1" applyProtection="1">
      <alignment horizontal="center" vertical="center"/>
    </xf>
    <xf numFmtId="0" fontId="16" fillId="0" borderId="0" xfId="0" applyFont="1" applyFill="1" applyBorder="1" applyAlignment="1" applyProtection="1">
      <alignment horizontal="left" vertical="center" wrapText="1"/>
    </xf>
    <xf numFmtId="0" fontId="17" fillId="2" borderId="0"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1" fillId="2" borderId="0" xfId="0" applyFont="1" applyFill="1" applyBorder="1" applyAlignment="1" applyProtection="1">
      <alignment horizontal="center" vertical="center" wrapText="1"/>
    </xf>
    <xf numFmtId="0" fontId="8" fillId="2" borderId="0" xfId="0" applyFont="1" applyFill="1" applyBorder="1" applyAlignment="1" applyProtection="1">
      <alignment horizontal="left"/>
    </xf>
    <xf numFmtId="0" fontId="13" fillId="2" borderId="0" xfId="0" applyFont="1" applyFill="1" applyBorder="1" applyAlignment="1" applyProtection="1">
      <alignment horizontal="left" vertical="center"/>
    </xf>
    <xf numFmtId="0" fontId="16" fillId="6" borderId="0" xfId="0" applyFont="1" applyFill="1" applyBorder="1" applyAlignment="1" applyProtection="1">
      <alignment horizontal="left" vertical="center" wrapText="1"/>
    </xf>
    <xf numFmtId="0" fontId="18" fillId="6" borderId="0" xfId="0" applyFont="1" applyFill="1" applyBorder="1" applyAlignment="1" applyProtection="1">
      <alignment horizontal="center" vertical="center"/>
    </xf>
    <xf numFmtId="0" fontId="2" fillId="6" borderId="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13" fillId="2" borderId="0"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xf>
    <xf numFmtId="0" fontId="2" fillId="6" borderId="0" xfId="0" applyFont="1" applyFill="1" applyBorder="1" applyAlignment="1" applyProtection="1">
      <alignment vertical="center"/>
    </xf>
    <xf numFmtId="0" fontId="9" fillId="4" borderId="0" xfId="0" applyFont="1" applyFill="1" applyBorder="1" applyAlignment="1" applyProtection="1">
      <alignment vertical="center"/>
    </xf>
    <xf numFmtId="0" fontId="21" fillId="4" borderId="0" xfId="0" applyFont="1" applyFill="1" applyBorder="1" applyAlignment="1" applyProtection="1">
      <alignment horizontal="center" vertical="center"/>
    </xf>
    <xf numFmtId="0" fontId="16" fillId="2" borderId="2" xfId="0" applyFont="1" applyFill="1" applyBorder="1" applyAlignment="1" applyProtection="1">
      <alignment horizontal="left" vertical="center"/>
    </xf>
    <xf numFmtId="0" fontId="16" fillId="2" borderId="0" xfId="0" applyFont="1" applyFill="1" applyBorder="1" applyAlignment="1" applyProtection="1">
      <alignment horizontal="left" vertical="center"/>
    </xf>
    <xf numFmtId="0" fontId="2" fillId="6" borderId="2" xfId="0" quotePrefix="1" applyFont="1" applyFill="1" applyBorder="1" applyAlignment="1" applyProtection="1">
      <alignment horizontal="left" vertical="center"/>
    </xf>
    <xf numFmtId="0" fontId="2" fillId="6" borderId="0" xfId="0" quotePrefix="1" applyFont="1" applyFill="1" applyBorder="1" applyAlignment="1" applyProtection="1">
      <alignment horizontal="left" vertical="center"/>
    </xf>
    <xf numFmtId="0" fontId="2" fillId="2" borderId="2" xfId="0" applyFont="1" applyFill="1" applyBorder="1" applyAlignment="1" applyProtection="1">
      <alignment horizontal="left" vertical="center"/>
    </xf>
    <xf numFmtId="0" fontId="2" fillId="2" borderId="0" xfId="0" applyFont="1" applyFill="1" applyBorder="1" applyAlignment="1" applyProtection="1">
      <alignment horizontal="left" vertical="center"/>
    </xf>
    <xf numFmtId="0" fontId="2" fillId="2" borderId="0" xfId="0" applyFont="1" applyFill="1" applyBorder="1" applyAlignment="1" applyProtection="1">
      <alignment horizontal="center" vertical="center" wrapText="1"/>
    </xf>
    <xf numFmtId="0" fontId="17" fillId="6" borderId="0" xfId="0" applyFont="1" applyFill="1" applyBorder="1" applyAlignment="1" applyProtection="1">
      <alignment horizontal="center" vertical="center"/>
    </xf>
    <xf numFmtId="0" fontId="2" fillId="2" borderId="0" xfId="0" applyFont="1" applyFill="1" applyBorder="1" applyAlignment="1" applyProtection="1">
      <alignment horizontal="left" vertical="center" wrapText="1"/>
    </xf>
    <xf numFmtId="0" fontId="2" fillId="6" borderId="0" xfId="0" applyFont="1" applyFill="1" applyBorder="1" applyAlignment="1" applyProtection="1">
      <alignment horizontal="left" vertical="center" wrapText="1"/>
    </xf>
    <xf numFmtId="0" fontId="2" fillId="6" borderId="0" xfId="0" applyFont="1" applyFill="1" applyBorder="1" applyAlignment="1" applyProtection="1">
      <alignment horizontal="center" vertical="center" wrapText="1"/>
    </xf>
    <xf numFmtId="0" fontId="2" fillId="6" borderId="2" xfId="0" applyFont="1" applyFill="1" applyBorder="1" applyAlignment="1" applyProtection="1">
      <alignment horizontal="left" vertical="center" wrapText="1"/>
    </xf>
    <xf numFmtId="0" fontId="2" fillId="2" borderId="2"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2" fillId="6" borderId="0" xfId="0" applyFont="1" applyFill="1" applyBorder="1" applyAlignment="1" applyProtection="1">
      <alignment horizontal="left" vertical="center"/>
    </xf>
    <xf numFmtId="0" fontId="22" fillId="4" borderId="0" xfId="0" applyFont="1" applyFill="1" applyBorder="1" applyAlignment="1" applyProtection="1">
      <alignment horizontal="center" vertical="center" wrapText="1"/>
    </xf>
    <xf numFmtId="0" fontId="23" fillId="4" borderId="0" xfId="0" applyFont="1" applyFill="1" applyBorder="1" applyAlignment="1" applyProtection="1">
      <alignment horizontal="center" vertical="center"/>
    </xf>
    <xf numFmtId="0" fontId="5" fillId="2" borderId="0" xfId="0" applyFont="1" applyFill="1" applyBorder="1" applyAlignment="1" applyProtection="1">
      <alignment horizontal="left" vertical="center" wrapText="1" indent="2"/>
    </xf>
    <xf numFmtId="0" fontId="5" fillId="6" borderId="0" xfId="0" applyFont="1" applyFill="1" applyBorder="1" applyAlignment="1" applyProtection="1">
      <alignment horizontal="left" vertical="center" wrapText="1" indent="2"/>
    </xf>
    <xf numFmtId="0" fontId="25" fillId="8" borderId="0" xfId="0" applyFont="1" applyFill="1" applyBorder="1" applyAlignment="1" applyProtection="1">
      <alignment horizontal="center" vertical="center"/>
    </xf>
    <xf numFmtId="0" fontId="22" fillId="4" borderId="0" xfId="0" applyFont="1" applyFill="1" applyBorder="1" applyAlignment="1" applyProtection="1">
      <alignment horizontal="center" vertical="center"/>
    </xf>
    <xf numFmtId="0" fontId="22" fillId="4" borderId="0" xfId="0" applyFont="1" applyFill="1" applyBorder="1" applyAlignment="1" applyProtection="1">
      <alignment horizontal="left" vertical="center"/>
    </xf>
    <xf numFmtId="0" fontId="5" fillId="2" borderId="0" xfId="0" applyFont="1" applyFill="1" applyBorder="1" applyAlignment="1" applyProtection="1">
      <alignment horizontal="center" vertical="center"/>
    </xf>
    <xf numFmtId="0" fontId="5" fillId="2" borderId="0" xfId="0" applyFont="1" applyFill="1" applyBorder="1" applyAlignment="1" applyProtection="1">
      <alignment horizontal="left" vertical="center"/>
    </xf>
  </cellXfs>
  <cellStyles count="1">
    <cellStyle name="Normal" xfId="0" builtinId="0"/>
  </cellStyles>
  <dxfs count="9">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12</xdr:row>
          <xdr:rowOff>0</xdr:rowOff>
        </xdr:from>
        <xdr:to>
          <xdr:col>1</xdr:col>
          <xdr:colOff>906780</xdr:colOff>
          <xdr:row>12</xdr:row>
          <xdr:rowOff>190500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FF0000"/>
                  </a:solidFill>
                  <a:latin typeface="Arial"/>
                  <a:cs typeface="Arial"/>
                </a:rPr>
                <a:t>Clear Entry</a:t>
              </a:r>
            </a:p>
          </xdr:txBody>
        </xdr:sp>
        <xdr:clientData fPrintsWithSheet="0"/>
      </xdr:twoCellAnchor>
    </mc:Choice>
    <mc:Fallback/>
  </mc:AlternateContent>
  <xdr:twoCellAnchor editAs="oneCell">
    <xdr:from>
      <xdr:col>1</xdr:col>
      <xdr:colOff>0</xdr:colOff>
      <xdr:row>0</xdr:row>
      <xdr:rowOff>0</xdr:rowOff>
    </xdr:from>
    <xdr:to>
      <xdr:col>1</xdr:col>
      <xdr:colOff>899963</xdr:colOff>
      <xdr:row>0</xdr:row>
      <xdr:rowOff>621792</xdr:rowOff>
    </xdr:to>
    <xdr:pic>
      <xdr:nvPicPr>
        <xdr:cNvPr id="3"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0"/>
          <a:ext cx="899963" cy="6217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F0"/>
  </sheetPr>
  <dimension ref="A1:BA232"/>
  <sheetViews>
    <sheetView showRowColHeaders="0" tabSelected="1" zoomScaleNormal="100" workbookViewId="0">
      <selection activeCell="A2" sqref="A2:AG2"/>
    </sheetView>
  </sheetViews>
  <sheetFormatPr defaultColWidth="0" defaultRowHeight="11.4" zeroHeight="1" x14ac:dyDescent="0.3"/>
  <cols>
    <col min="1" max="1" width="1" style="1" customWidth="1"/>
    <col min="2" max="2" width="14.109375" style="2" customWidth="1"/>
    <col min="3" max="19" width="4" style="1" customWidth="1"/>
    <col min="20" max="20" width="2.109375" style="1" customWidth="1"/>
    <col min="21" max="32" width="4" style="1" customWidth="1"/>
    <col min="33" max="33" width="4.88671875" style="1" customWidth="1"/>
    <col min="34" max="37" width="4" style="1" customWidth="1"/>
    <col min="38" max="38" width="4" style="1" hidden="1" customWidth="1"/>
    <col min="39" max="39" width="6.88671875" style="3" hidden="1" customWidth="1"/>
    <col min="40" max="40" width="4" style="1" hidden="1" customWidth="1"/>
    <col min="41" max="41" width="10.88671875" style="1" hidden="1" customWidth="1"/>
    <col min="42" max="53" width="4" style="1" hidden="1" customWidth="1"/>
    <col min="54" max="16384" width="9.109375" style="1" hidden="1"/>
  </cols>
  <sheetData>
    <row r="1" spans="1:39" ht="59.1" customHeight="1" x14ac:dyDescent="0.3">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row>
    <row r="2" spans="1:39" s="4" customFormat="1" ht="17.399999999999999" customHeight="1" x14ac:dyDescent="0.25">
      <c r="A2" s="40" t="s">
        <v>0</v>
      </c>
      <c r="B2" s="40"/>
      <c r="C2" s="40"/>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28"/>
      <c r="AI2" s="28"/>
      <c r="AJ2" s="28"/>
      <c r="AK2" s="28"/>
    </row>
    <row r="3" spans="1:39" ht="25.5" customHeight="1" x14ac:dyDescent="0.3">
      <c r="A3" s="33"/>
      <c r="B3" s="41" t="s">
        <v>1</v>
      </c>
      <c r="C3" s="41"/>
      <c r="D3" s="41"/>
      <c r="E3" s="41"/>
      <c r="F3" s="41"/>
      <c r="G3" s="41"/>
      <c r="H3" s="41"/>
      <c r="I3" s="41"/>
      <c r="J3" s="41"/>
      <c r="K3" s="41"/>
      <c r="L3" s="41"/>
      <c r="M3" s="41"/>
      <c r="N3" s="41"/>
      <c r="O3" s="41"/>
      <c r="P3" s="41"/>
      <c r="Q3" s="41"/>
      <c r="R3" s="41"/>
      <c r="S3" s="41"/>
      <c r="T3" s="41"/>
      <c r="U3" s="41"/>
      <c r="V3" s="41"/>
      <c r="W3" s="41"/>
      <c r="X3" s="41"/>
      <c r="Y3" s="41"/>
      <c r="Z3" s="41"/>
      <c r="AA3" s="41"/>
      <c r="AB3" s="41"/>
      <c r="AC3" s="41"/>
      <c r="AD3" s="41"/>
      <c r="AE3" s="41"/>
      <c r="AF3" s="41"/>
      <c r="AG3" s="41"/>
      <c r="AH3" s="33"/>
      <c r="AI3" s="33"/>
      <c r="AJ3" s="33"/>
    </row>
    <row r="4" spans="1:39" ht="148.5" customHeight="1" x14ac:dyDescent="0.3">
      <c r="A4" s="33"/>
      <c r="B4" s="42" t="s">
        <v>2</v>
      </c>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3"/>
    </row>
    <row r="5" spans="1:39" x14ac:dyDescent="0.3">
      <c r="A5" s="33"/>
      <c r="B5" s="31"/>
      <c r="C5" s="33"/>
      <c r="D5" s="33"/>
      <c r="E5" s="33"/>
      <c r="F5" s="33"/>
      <c r="G5" s="33"/>
      <c r="H5" s="33"/>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row>
    <row r="6" spans="1:39" ht="30.6" customHeight="1" x14ac:dyDescent="0.3">
      <c r="A6" s="33"/>
      <c r="B6" s="5" t="s">
        <v>3</v>
      </c>
      <c r="C6" s="42" t="s">
        <v>4</v>
      </c>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33"/>
      <c r="AJ6" s="33"/>
    </row>
    <row r="7" spans="1:39" ht="31.5" customHeight="1" x14ac:dyDescent="0.3">
      <c r="A7" s="33"/>
      <c r="B7" s="5" t="s">
        <v>5</v>
      </c>
      <c r="C7" s="42" t="s">
        <v>6</v>
      </c>
      <c r="D7" s="42"/>
      <c r="E7" s="42"/>
      <c r="F7" s="42"/>
      <c r="G7" s="42"/>
      <c r="H7" s="42"/>
      <c r="I7" s="42"/>
      <c r="J7" s="42"/>
      <c r="K7" s="42"/>
      <c r="L7" s="42"/>
      <c r="M7" s="42"/>
      <c r="N7" s="42"/>
      <c r="O7" s="42"/>
      <c r="P7" s="42"/>
      <c r="Q7" s="42"/>
      <c r="R7" s="42"/>
      <c r="S7" s="42"/>
      <c r="T7" s="42"/>
      <c r="U7" s="42"/>
      <c r="V7" s="42"/>
      <c r="W7" s="42"/>
      <c r="X7" s="42"/>
      <c r="Y7" s="42"/>
      <c r="Z7" s="42"/>
      <c r="AA7" s="42"/>
      <c r="AB7" s="42"/>
      <c r="AC7" s="42"/>
      <c r="AD7" s="42"/>
      <c r="AE7" s="42"/>
      <c r="AF7" s="42"/>
      <c r="AG7" s="42"/>
      <c r="AH7" s="42"/>
      <c r="AI7" s="33"/>
      <c r="AJ7" s="33"/>
    </row>
    <row r="8" spans="1:39" ht="31.5" customHeight="1" x14ac:dyDescent="0.3">
      <c r="A8" s="33"/>
      <c r="B8" s="5" t="s">
        <v>7</v>
      </c>
      <c r="C8" s="42" t="s">
        <v>8</v>
      </c>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33"/>
      <c r="AJ8" s="33"/>
    </row>
    <row r="9" spans="1:39" ht="56.25" customHeight="1" x14ac:dyDescent="0.3">
      <c r="A9" s="33"/>
      <c r="B9" s="42" t="s">
        <v>190</v>
      </c>
      <c r="C9" s="42"/>
      <c r="D9" s="42"/>
      <c r="E9" s="42"/>
      <c r="F9" s="42"/>
      <c r="G9" s="42"/>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c r="AJ9" s="33"/>
    </row>
    <row r="10" spans="1:39" ht="21" customHeight="1" x14ac:dyDescent="0.3">
      <c r="A10" s="33"/>
      <c r="B10" s="49" t="s">
        <v>184</v>
      </c>
      <c r="C10" s="49"/>
      <c r="D10" s="49"/>
      <c r="E10" s="49"/>
      <c r="F10" s="49"/>
      <c r="G10" s="49"/>
      <c r="H10" s="49"/>
      <c r="I10" s="49"/>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33"/>
      <c r="AJ10" s="33"/>
    </row>
    <row r="11" spans="1:39" s="6" customFormat="1" ht="18.75" customHeight="1" x14ac:dyDescent="0.3">
      <c r="B11" s="32" t="s">
        <v>9</v>
      </c>
      <c r="C11" s="50" t="s">
        <v>10</v>
      </c>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M11" s="7"/>
    </row>
    <row r="12" spans="1:39" x14ac:dyDescent="0.3">
      <c r="A12" s="33"/>
      <c r="B12" s="31"/>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row>
    <row r="13" spans="1:39" ht="15.6" x14ac:dyDescent="0.3">
      <c r="A13" s="33"/>
      <c r="B13" s="8"/>
      <c r="C13" s="43" t="s">
        <v>11</v>
      </c>
      <c r="D13" s="43"/>
      <c r="E13" s="43"/>
      <c r="F13" s="43"/>
      <c r="G13" s="43"/>
      <c r="H13" s="33"/>
      <c r="I13" s="9"/>
      <c r="J13" s="9"/>
      <c r="K13" s="9"/>
      <c r="L13" s="9"/>
      <c r="M13" s="9"/>
      <c r="N13" s="9"/>
      <c r="O13" s="9"/>
      <c r="P13" s="9"/>
      <c r="Q13" s="9"/>
      <c r="R13" s="9"/>
      <c r="S13" s="9"/>
      <c r="T13" s="9"/>
      <c r="U13" s="9"/>
      <c r="V13" s="9"/>
      <c r="W13" s="9"/>
      <c r="X13" s="9"/>
      <c r="Y13" s="10"/>
      <c r="Z13" s="10"/>
      <c r="AA13" s="10"/>
      <c r="AB13" s="10"/>
      <c r="AC13" s="11"/>
      <c r="AD13" s="11"/>
      <c r="AE13" s="11"/>
      <c r="AF13" s="11"/>
      <c r="AG13" s="11"/>
      <c r="AH13" s="33"/>
      <c r="AI13" s="33"/>
      <c r="AJ13" s="33"/>
    </row>
    <row r="14" spans="1:39" hidden="1" x14ac:dyDescent="0.3">
      <c r="A14" s="33"/>
      <c r="B14" s="31"/>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row>
    <row r="15" spans="1:39" ht="20.100000000000001" customHeight="1" x14ac:dyDescent="0.3">
      <c r="A15" s="33"/>
      <c r="B15" s="31"/>
      <c r="C15" s="51" t="s">
        <v>12</v>
      </c>
      <c r="D15" s="51"/>
      <c r="E15" s="51"/>
      <c r="F15" s="51"/>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33"/>
      <c r="AI15" s="33"/>
      <c r="AJ15" s="33"/>
    </row>
    <row r="16" spans="1:39" ht="13.8" hidden="1" x14ac:dyDescent="0.3">
      <c r="A16" s="33"/>
      <c r="B16" s="31"/>
      <c r="C16" s="12"/>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row>
    <row r="17" spans="1:39" ht="15.6" x14ac:dyDescent="0.3">
      <c r="A17" s="33"/>
      <c r="B17" s="34"/>
      <c r="C17" s="43" t="s">
        <v>13</v>
      </c>
      <c r="D17" s="43"/>
      <c r="E17" s="43"/>
      <c r="F17" s="43"/>
      <c r="G17" s="43"/>
      <c r="H17" s="43"/>
      <c r="I17" s="43"/>
      <c r="J17" s="43"/>
      <c r="K17" s="43"/>
      <c r="L17" s="43"/>
      <c r="M17" s="43"/>
      <c r="N17" s="43"/>
      <c r="O17" s="43"/>
      <c r="P17" s="13"/>
      <c r="Q17" s="13"/>
      <c r="R17" s="13"/>
      <c r="S17" s="13"/>
      <c r="T17" s="13"/>
      <c r="U17" s="13"/>
      <c r="V17" s="13"/>
      <c r="W17" s="13"/>
      <c r="X17" s="13"/>
      <c r="Y17" s="13"/>
      <c r="Z17" s="44" t="s">
        <v>14</v>
      </c>
      <c r="AA17" s="44"/>
      <c r="AB17" s="44"/>
      <c r="AC17" s="44"/>
      <c r="AD17" s="45" t="s">
        <v>15</v>
      </c>
      <c r="AE17" s="45"/>
      <c r="AF17" s="45"/>
      <c r="AG17" s="45"/>
      <c r="AH17" s="33"/>
      <c r="AI17" s="33"/>
      <c r="AJ17" s="33"/>
    </row>
    <row r="18" spans="1:39" ht="15.6" customHeight="1" x14ac:dyDescent="0.3">
      <c r="B18" s="14"/>
      <c r="C18" s="46" t="s">
        <v>16</v>
      </c>
      <c r="D18" s="46"/>
      <c r="E18" s="46"/>
      <c r="F18" s="46"/>
      <c r="G18" s="46"/>
      <c r="H18" s="46"/>
      <c r="I18" s="46"/>
      <c r="J18" s="46"/>
      <c r="K18" s="46"/>
      <c r="L18" s="46"/>
      <c r="M18" s="46"/>
      <c r="N18" s="46"/>
      <c r="O18" s="46"/>
      <c r="P18" s="33"/>
      <c r="Q18" s="33"/>
      <c r="R18" s="33"/>
      <c r="S18" s="33"/>
      <c r="T18" s="33"/>
      <c r="U18" s="33"/>
      <c r="V18" s="33"/>
      <c r="W18" s="33"/>
      <c r="X18" s="33"/>
      <c r="Y18" s="33"/>
      <c r="Z18" s="47" t="s">
        <v>17</v>
      </c>
      <c r="AA18" s="47"/>
      <c r="AB18" s="47"/>
      <c r="AC18" s="47"/>
      <c r="AD18" s="48">
        <v>0</v>
      </c>
      <c r="AE18" s="48"/>
      <c r="AF18" s="48"/>
      <c r="AG18" s="48"/>
      <c r="AH18" s="33"/>
      <c r="AI18" s="33"/>
      <c r="AJ18" s="33"/>
      <c r="AM18" s="3">
        <f t="shared" ref="AM18:AM31" si="0">IF($B18="X",$AD18,0)</f>
        <v>0</v>
      </c>
    </row>
    <row r="19" spans="1:39" ht="51.6" customHeight="1" x14ac:dyDescent="0.3">
      <c r="B19" s="14"/>
      <c r="C19" s="52" t="s">
        <v>18</v>
      </c>
      <c r="D19" s="52"/>
      <c r="E19" s="52"/>
      <c r="F19" s="52"/>
      <c r="G19" s="52"/>
      <c r="H19" s="52"/>
      <c r="I19" s="52"/>
      <c r="J19" s="52"/>
      <c r="K19" s="52"/>
      <c r="L19" s="52"/>
      <c r="M19" s="52"/>
      <c r="N19" s="52"/>
      <c r="O19" s="52"/>
      <c r="P19" s="52"/>
      <c r="Q19" s="52"/>
      <c r="R19" s="52"/>
      <c r="S19" s="52"/>
      <c r="T19" s="52"/>
      <c r="U19" s="52"/>
      <c r="V19" s="52"/>
      <c r="W19" s="52"/>
      <c r="X19" s="52"/>
      <c r="Y19" s="52"/>
      <c r="Z19" s="53" t="s">
        <v>19</v>
      </c>
      <c r="AA19" s="53"/>
      <c r="AB19" s="53"/>
      <c r="AC19" s="53"/>
      <c r="AD19" s="54">
        <v>10</v>
      </c>
      <c r="AE19" s="54"/>
      <c r="AF19" s="54"/>
      <c r="AG19" s="54"/>
      <c r="AH19" s="33"/>
      <c r="AI19" s="33"/>
      <c r="AJ19" s="33"/>
      <c r="AM19" s="3">
        <f t="shared" si="0"/>
        <v>0</v>
      </c>
    </row>
    <row r="20" spans="1:39" ht="15.6" customHeight="1" x14ac:dyDescent="0.3">
      <c r="B20" s="14"/>
      <c r="C20" s="46" t="s">
        <v>20</v>
      </c>
      <c r="D20" s="46"/>
      <c r="E20" s="46"/>
      <c r="F20" s="46"/>
      <c r="G20" s="46"/>
      <c r="H20" s="46"/>
      <c r="I20" s="46"/>
      <c r="J20" s="46"/>
      <c r="K20" s="46"/>
      <c r="L20" s="46"/>
      <c r="M20" s="46"/>
      <c r="N20" s="46"/>
      <c r="O20" s="46"/>
      <c r="P20" s="33"/>
      <c r="Q20" s="33"/>
      <c r="R20" s="33"/>
      <c r="S20" s="33"/>
      <c r="T20" s="33"/>
      <c r="U20" s="33"/>
      <c r="V20" s="33"/>
      <c r="W20" s="33"/>
      <c r="X20" s="33"/>
      <c r="Y20" s="33"/>
      <c r="Z20" s="47" t="s">
        <v>21</v>
      </c>
      <c r="AA20" s="47"/>
      <c r="AB20" s="47"/>
      <c r="AC20" s="47"/>
      <c r="AD20" s="48">
        <v>15</v>
      </c>
      <c r="AE20" s="48"/>
      <c r="AF20" s="48"/>
      <c r="AG20" s="48"/>
      <c r="AH20" s="33"/>
      <c r="AI20" s="33"/>
      <c r="AJ20" s="33"/>
      <c r="AM20" s="3">
        <f t="shared" si="0"/>
        <v>0</v>
      </c>
    </row>
    <row r="21" spans="1:39" ht="51.6" customHeight="1" x14ac:dyDescent="0.3">
      <c r="B21" s="14"/>
      <c r="C21" s="52" t="s">
        <v>22</v>
      </c>
      <c r="D21" s="52"/>
      <c r="E21" s="52"/>
      <c r="F21" s="52"/>
      <c r="G21" s="52"/>
      <c r="H21" s="52"/>
      <c r="I21" s="52"/>
      <c r="J21" s="52"/>
      <c r="K21" s="52"/>
      <c r="L21" s="52"/>
      <c r="M21" s="52"/>
      <c r="N21" s="52"/>
      <c r="O21" s="52"/>
      <c r="P21" s="52"/>
      <c r="Q21" s="52"/>
      <c r="R21" s="52"/>
      <c r="S21" s="52"/>
      <c r="T21" s="52"/>
      <c r="U21" s="52"/>
      <c r="V21" s="52"/>
      <c r="W21" s="52"/>
      <c r="X21" s="52"/>
      <c r="Y21" s="52"/>
      <c r="Z21" s="53" t="s">
        <v>23</v>
      </c>
      <c r="AA21" s="53"/>
      <c r="AB21" s="53"/>
      <c r="AC21" s="53"/>
      <c r="AD21" s="54">
        <v>20</v>
      </c>
      <c r="AE21" s="54"/>
      <c r="AF21" s="54"/>
      <c r="AG21" s="54"/>
      <c r="AH21" s="33"/>
      <c r="AI21" s="33"/>
      <c r="AJ21" s="33"/>
      <c r="AM21" s="3">
        <f t="shared" si="0"/>
        <v>0</v>
      </c>
    </row>
    <row r="22" spans="1:39" ht="15.6" customHeight="1" x14ac:dyDescent="0.3">
      <c r="B22" s="14"/>
      <c r="C22" s="46" t="s">
        <v>24</v>
      </c>
      <c r="D22" s="46"/>
      <c r="E22" s="46"/>
      <c r="F22" s="46"/>
      <c r="G22" s="46"/>
      <c r="H22" s="46"/>
      <c r="I22" s="46"/>
      <c r="J22" s="46"/>
      <c r="K22" s="46"/>
      <c r="L22" s="46"/>
      <c r="M22" s="46"/>
      <c r="N22" s="46"/>
      <c r="O22" s="46"/>
      <c r="P22" s="33"/>
      <c r="Q22" s="33"/>
      <c r="R22" s="33"/>
      <c r="S22" s="33"/>
      <c r="T22" s="33"/>
      <c r="U22" s="33"/>
      <c r="V22" s="33"/>
      <c r="W22" s="33"/>
      <c r="X22" s="33"/>
      <c r="Y22" s="33"/>
      <c r="Z22" s="47" t="s">
        <v>25</v>
      </c>
      <c r="AA22" s="47"/>
      <c r="AB22" s="47"/>
      <c r="AC22" s="47"/>
      <c r="AD22" s="48">
        <v>30</v>
      </c>
      <c r="AE22" s="48"/>
      <c r="AF22" s="48"/>
      <c r="AG22" s="48"/>
      <c r="AH22" s="33"/>
      <c r="AI22" s="33"/>
      <c r="AJ22" s="33"/>
      <c r="AM22" s="3">
        <f t="shared" si="0"/>
        <v>0</v>
      </c>
    </row>
    <row r="23" spans="1:39" ht="61.5" customHeight="1" x14ac:dyDescent="0.3">
      <c r="B23" s="14"/>
      <c r="C23" s="52" t="s">
        <v>26</v>
      </c>
      <c r="D23" s="52"/>
      <c r="E23" s="52"/>
      <c r="F23" s="52"/>
      <c r="G23" s="52"/>
      <c r="H23" s="52"/>
      <c r="I23" s="52"/>
      <c r="J23" s="52"/>
      <c r="K23" s="52"/>
      <c r="L23" s="52"/>
      <c r="M23" s="52"/>
      <c r="N23" s="52"/>
      <c r="O23" s="52"/>
      <c r="P23" s="52"/>
      <c r="Q23" s="52"/>
      <c r="R23" s="52"/>
      <c r="S23" s="52"/>
      <c r="T23" s="52"/>
      <c r="U23" s="52"/>
      <c r="V23" s="52"/>
      <c r="W23" s="52"/>
      <c r="X23" s="52"/>
      <c r="Y23" s="52"/>
      <c r="Z23" s="53" t="s">
        <v>27</v>
      </c>
      <c r="AA23" s="53"/>
      <c r="AB23" s="53"/>
      <c r="AC23" s="53"/>
      <c r="AD23" s="54">
        <v>40</v>
      </c>
      <c r="AE23" s="54"/>
      <c r="AF23" s="54"/>
      <c r="AG23" s="54"/>
      <c r="AH23" s="33"/>
      <c r="AI23" s="33"/>
      <c r="AJ23" s="33"/>
      <c r="AM23" s="3">
        <f t="shared" si="0"/>
        <v>0</v>
      </c>
    </row>
    <row r="24" spans="1:39" ht="15.6" customHeight="1" x14ac:dyDescent="0.3">
      <c r="B24" s="14"/>
      <c r="C24" s="46" t="s">
        <v>28</v>
      </c>
      <c r="D24" s="46"/>
      <c r="E24" s="46"/>
      <c r="F24" s="46"/>
      <c r="G24" s="46"/>
      <c r="H24" s="46"/>
      <c r="I24" s="46"/>
      <c r="J24" s="46"/>
      <c r="K24" s="46"/>
      <c r="L24" s="46"/>
      <c r="M24" s="46"/>
      <c r="N24" s="46"/>
      <c r="O24" s="46"/>
      <c r="P24" s="33"/>
      <c r="Q24" s="33"/>
      <c r="R24" s="33"/>
      <c r="S24" s="33"/>
      <c r="T24" s="33"/>
      <c r="U24" s="33"/>
      <c r="V24" s="33"/>
      <c r="W24" s="33"/>
      <c r="X24" s="33"/>
      <c r="Y24" s="33"/>
      <c r="Z24" s="47" t="s">
        <v>29</v>
      </c>
      <c r="AA24" s="47"/>
      <c r="AB24" s="47"/>
      <c r="AC24" s="47"/>
      <c r="AD24" s="48">
        <v>55</v>
      </c>
      <c r="AE24" s="48"/>
      <c r="AF24" s="48"/>
      <c r="AG24" s="48"/>
      <c r="AH24" s="33"/>
      <c r="AI24" s="33"/>
      <c r="AJ24" s="33"/>
      <c r="AM24" s="3">
        <f t="shared" si="0"/>
        <v>0</v>
      </c>
    </row>
    <row r="25" spans="1:39" ht="60.9" customHeight="1" x14ac:dyDescent="0.3">
      <c r="B25" s="14"/>
      <c r="C25" s="52" t="s">
        <v>30</v>
      </c>
      <c r="D25" s="52"/>
      <c r="E25" s="52"/>
      <c r="F25" s="52"/>
      <c r="G25" s="52"/>
      <c r="H25" s="52"/>
      <c r="I25" s="52"/>
      <c r="J25" s="52"/>
      <c r="K25" s="52"/>
      <c r="L25" s="52"/>
      <c r="M25" s="52"/>
      <c r="N25" s="52"/>
      <c r="O25" s="52"/>
      <c r="P25" s="52"/>
      <c r="Q25" s="52"/>
      <c r="R25" s="52"/>
      <c r="S25" s="52"/>
      <c r="T25" s="52"/>
      <c r="U25" s="52"/>
      <c r="V25" s="52"/>
      <c r="W25" s="52"/>
      <c r="X25" s="52"/>
      <c r="Y25" s="52"/>
      <c r="Z25" s="53" t="s">
        <v>31</v>
      </c>
      <c r="AA25" s="53"/>
      <c r="AB25" s="53"/>
      <c r="AC25" s="53"/>
      <c r="AD25" s="54">
        <v>70</v>
      </c>
      <c r="AE25" s="54"/>
      <c r="AF25" s="54"/>
      <c r="AG25" s="54"/>
      <c r="AH25" s="33"/>
      <c r="AI25" s="33"/>
      <c r="AJ25" s="33"/>
      <c r="AM25" s="3">
        <f t="shared" si="0"/>
        <v>0</v>
      </c>
    </row>
    <row r="26" spans="1:39" ht="15.6" customHeight="1" x14ac:dyDescent="0.3">
      <c r="B26" s="14"/>
      <c r="C26" s="46" t="s">
        <v>32</v>
      </c>
      <c r="D26" s="46"/>
      <c r="E26" s="46"/>
      <c r="F26" s="46"/>
      <c r="G26" s="46"/>
      <c r="H26" s="46"/>
      <c r="I26" s="46"/>
      <c r="J26" s="46"/>
      <c r="K26" s="46"/>
      <c r="L26" s="46"/>
      <c r="M26" s="46"/>
      <c r="N26" s="46"/>
      <c r="O26" s="46"/>
      <c r="P26" s="33"/>
      <c r="Q26" s="33"/>
      <c r="R26" s="33"/>
      <c r="S26" s="33"/>
      <c r="T26" s="33"/>
      <c r="U26" s="33"/>
      <c r="V26" s="33"/>
      <c r="W26" s="33"/>
      <c r="X26" s="33"/>
      <c r="Y26" s="33"/>
      <c r="Z26" s="47" t="s">
        <v>33</v>
      </c>
      <c r="AA26" s="47"/>
      <c r="AB26" s="47"/>
      <c r="AC26" s="47"/>
      <c r="AD26" s="48">
        <v>90</v>
      </c>
      <c r="AE26" s="48"/>
      <c r="AF26" s="48"/>
      <c r="AG26" s="48"/>
      <c r="AH26" s="33"/>
      <c r="AI26" s="33"/>
      <c r="AJ26" s="33"/>
      <c r="AM26" s="3">
        <f t="shared" si="0"/>
        <v>0</v>
      </c>
    </row>
    <row r="27" spans="1:39" ht="51.6" customHeight="1" x14ac:dyDescent="0.3">
      <c r="B27" s="14"/>
      <c r="C27" s="52" t="s">
        <v>34</v>
      </c>
      <c r="D27" s="52"/>
      <c r="E27" s="52"/>
      <c r="F27" s="52"/>
      <c r="G27" s="52"/>
      <c r="H27" s="52"/>
      <c r="I27" s="52"/>
      <c r="J27" s="52"/>
      <c r="K27" s="52"/>
      <c r="L27" s="52"/>
      <c r="M27" s="52"/>
      <c r="N27" s="52"/>
      <c r="O27" s="52"/>
      <c r="P27" s="52"/>
      <c r="Q27" s="52"/>
      <c r="R27" s="52"/>
      <c r="S27" s="52"/>
      <c r="T27" s="52"/>
      <c r="U27" s="52"/>
      <c r="V27" s="52"/>
      <c r="W27" s="52"/>
      <c r="X27" s="52"/>
      <c r="Y27" s="52"/>
      <c r="Z27" s="53" t="s">
        <v>35</v>
      </c>
      <c r="AA27" s="53"/>
      <c r="AB27" s="53"/>
      <c r="AC27" s="53"/>
      <c r="AD27" s="54">
        <v>110</v>
      </c>
      <c r="AE27" s="54"/>
      <c r="AF27" s="54"/>
      <c r="AG27" s="54"/>
      <c r="AH27" s="33"/>
      <c r="AI27" s="33"/>
      <c r="AJ27" s="33"/>
      <c r="AM27" s="3">
        <f t="shared" si="0"/>
        <v>0</v>
      </c>
    </row>
    <row r="28" spans="1:39" ht="15.6" customHeight="1" x14ac:dyDescent="0.3">
      <c r="B28" s="14"/>
      <c r="C28" s="46" t="s">
        <v>36</v>
      </c>
      <c r="D28" s="46"/>
      <c r="E28" s="46"/>
      <c r="F28" s="46"/>
      <c r="G28" s="46"/>
      <c r="H28" s="46"/>
      <c r="I28" s="46"/>
      <c r="J28" s="46"/>
      <c r="K28" s="46"/>
      <c r="L28" s="46"/>
      <c r="M28" s="46"/>
      <c r="N28" s="46"/>
      <c r="O28" s="46"/>
      <c r="P28" s="33"/>
      <c r="Q28" s="33"/>
      <c r="R28" s="33"/>
      <c r="S28" s="33"/>
      <c r="T28" s="33"/>
      <c r="U28" s="33"/>
      <c r="V28" s="33"/>
      <c r="W28" s="33"/>
      <c r="X28" s="33"/>
      <c r="Y28" s="33"/>
      <c r="Z28" s="47" t="s">
        <v>37</v>
      </c>
      <c r="AA28" s="47"/>
      <c r="AB28" s="47"/>
      <c r="AC28" s="47"/>
      <c r="AD28" s="48">
        <v>130</v>
      </c>
      <c r="AE28" s="48"/>
      <c r="AF28" s="48"/>
      <c r="AG28" s="48"/>
      <c r="AH28" s="33"/>
      <c r="AI28" s="33"/>
      <c r="AJ28" s="33"/>
      <c r="AM28" s="3">
        <f t="shared" si="0"/>
        <v>0</v>
      </c>
    </row>
    <row r="29" spans="1:39" ht="75" customHeight="1" x14ac:dyDescent="0.3">
      <c r="B29" s="14"/>
      <c r="C29" s="52" t="s">
        <v>38</v>
      </c>
      <c r="D29" s="52"/>
      <c r="E29" s="52"/>
      <c r="F29" s="52"/>
      <c r="G29" s="52"/>
      <c r="H29" s="52"/>
      <c r="I29" s="52"/>
      <c r="J29" s="52"/>
      <c r="K29" s="52"/>
      <c r="L29" s="52"/>
      <c r="M29" s="52"/>
      <c r="N29" s="52"/>
      <c r="O29" s="52"/>
      <c r="P29" s="52"/>
      <c r="Q29" s="52"/>
      <c r="R29" s="52"/>
      <c r="S29" s="52"/>
      <c r="T29" s="52"/>
      <c r="U29" s="52"/>
      <c r="V29" s="52"/>
      <c r="W29" s="52"/>
      <c r="X29" s="52"/>
      <c r="Y29" s="52"/>
      <c r="Z29" s="53" t="s">
        <v>39</v>
      </c>
      <c r="AA29" s="53"/>
      <c r="AB29" s="53"/>
      <c r="AC29" s="53"/>
      <c r="AD29" s="54">
        <v>150</v>
      </c>
      <c r="AE29" s="54"/>
      <c r="AF29" s="54"/>
      <c r="AG29" s="54"/>
      <c r="AH29" s="33"/>
      <c r="AI29" s="33"/>
      <c r="AJ29" s="33"/>
      <c r="AM29" s="3">
        <f t="shared" si="0"/>
        <v>0</v>
      </c>
    </row>
    <row r="30" spans="1:39" ht="15.6" customHeight="1" x14ac:dyDescent="0.3">
      <c r="B30" s="14"/>
      <c r="C30" s="46" t="s">
        <v>40</v>
      </c>
      <c r="D30" s="46"/>
      <c r="E30" s="46"/>
      <c r="F30" s="46"/>
      <c r="G30" s="46"/>
      <c r="H30" s="46"/>
      <c r="I30" s="46"/>
      <c r="J30" s="46"/>
      <c r="K30" s="46"/>
      <c r="L30" s="46"/>
      <c r="M30" s="46"/>
      <c r="N30" s="46"/>
      <c r="O30" s="46"/>
      <c r="P30" s="33"/>
      <c r="Q30" s="33"/>
      <c r="R30" s="33"/>
      <c r="S30" s="33"/>
      <c r="T30" s="33"/>
      <c r="U30" s="33"/>
      <c r="V30" s="33"/>
      <c r="W30" s="33"/>
      <c r="X30" s="33"/>
      <c r="Y30" s="33"/>
      <c r="Z30" s="47" t="s">
        <v>41</v>
      </c>
      <c r="AA30" s="47"/>
      <c r="AB30" s="47"/>
      <c r="AC30" s="47"/>
      <c r="AD30" s="48">
        <v>175</v>
      </c>
      <c r="AE30" s="48"/>
      <c r="AF30" s="48"/>
      <c r="AG30" s="48"/>
      <c r="AH30" s="33"/>
      <c r="AI30" s="33"/>
      <c r="AJ30" s="33"/>
      <c r="AM30" s="3">
        <f t="shared" si="0"/>
        <v>0</v>
      </c>
    </row>
    <row r="31" spans="1:39" ht="58.5" customHeight="1" x14ac:dyDescent="0.3">
      <c r="B31" s="14"/>
      <c r="C31" s="52" t="s">
        <v>42</v>
      </c>
      <c r="D31" s="52"/>
      <c r="E31" s="52"/>
      <c r="F31" s="52"/>
      <c r="G31" s="52"/>
      <c r="H31" s="52"/>
      <c r="I31" s="52"/>
      <c r="J31" s="52"/>
      <c r="K31" s="52"/>
      <c r="L31" s="52"/>
      <c r="M31" s="52"/>
      <c r="N31" s="52"/>
      <c r="O31" s="52"/>
      <c r="P31" s="52"/>
      <c r="Q31" s="52"/>
      <c r="R31" s="52"/>
      <c r="S31" s="52"/>
      <c r="T31" s="52"/>
      <c r="U31" s="52"/>
      <c r="V31" s="52"/>
      <c r="W31" s="52"/>
      <c r="X31" s="52"/>
      <c r="Y31" s="52"/>
      <c r="Z31" s="53" t="s">
        <v>43</v>
      </c>
      <c r="AA31" s="53"/>
      <c r="AB31" s="53"/>
      <c r="AC31" s="53"/>
      <c r="AD31" s="54">
        <v>200</v>
      </c>
      <c r="AE31" s="54"/>
      <c r="AF31" s="54"/>
      <c r="AG31" s="54"/>
      <c r="AH31" s="33"/>
      <c r="AI31" s="33"/>
      <c r="AJ31" s="33"/>
      <c r="AM31" s="3">
        <f t="shared" si="0"/>
        <v>0</v>
      </c>
    </row>
    <row r="32" spans="1:39" x14ac:dyDescent="0.3">
      <c r="B32" s="31"/>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M32" s="15">
        <f>SUM(AM18:AM31)</f>
        <v>0</v>
      </c>
    </row>
    <row r="33" spans="2:39" hidden="1" x14ac:dyDescent="0.3">
      <c r="B33" s="31"/>
      <c r="C33" s="33"/>
      <c r="D33" s="33"/>
      <c r="E33" s="33"/>
      <c r="F33" s="33"/>
      <c r="G33" s="33"/>
      <c r="H33" s="33"/>
      <c r="I33" s="33"/>
      <c r="J33" s="33"/>
      <c r="K33" s="33"/>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row>
    <row r="34" spans="2:39" x14ac:dyDescent="0.3">
      <c r="B34" s="31"/>
      <c r="C34" s="33"/>
      <c r="D34" s="33"/>
      <c r="E34" s="33"/>
      <c r="F34" s="33"/>
      <c r="G34" s="33"/>
      <c r="H34" s="33"/>
      <c r="I34" s="33"/>
      <c r="J34" s="33"/>
      <c r="K34" s="33"/>
      <c r="L34" s="33"/>
      <c r="M34" s="33"/>
      <c r="N34" s="33"/>
      <c r="O34" s="33"/>
      <c r="P34" s="33"/>
      <c r="Q34" s="33"/>
      <c r="R34" s="33"/>
      <c r="S34" s="33"/>
      <c r="T34" s="33"/>
      <c r="U34" s="33"/>
      <c r="V34" s="33"/>
      <c r="W34" s="33"/>
      <c r="X34" s="33"/>
      <c r="Y34" s="33"/>
      <c r="Z34" s="33"/>
      <c r="AA34" s="33"/>
      <c r="AB34" s="33"/>
      <c r="AC34" s="33"/>
      <c r="AD34" s="33"/>
      <c r="AE34" s="33"/>
      <c r="AF34" s="33"/>
      <c r="AG34" s="33"/>
      <c r="AH34" s="33"/>
      <c r="AI34" s="33"/>
      <c r="AJ34" s="33"/>
    </row>
    <row r="35" spans="2:39" ht="15.6" x14ac:dyDescent="0.3">
      <c r="B35" s="31"/>
      <c r="C35" s="43" t="s">
        <v>44</v>
      </c>
      <c r="D35" s="43"/>
      <c r="E35" s="43"/>
      <c r="F35" s="43"/>
      <c r="G35" s="43"/>
      <c r="H35" s="43"/>
      <c r="I35" s="43"/>
      <c r="J35" s="43"/>
      <c r="K35" s="43"/>
      <c r="L35" s="43"/>
      <c r="M35" s="43"/>
      <c r="N35" s="43"/>
      <c r="O35" s="11"/>
      <c r="P35" s="11"/>
      <c r="Q35" s="11"/>
      <c r="R35" s="11"/>
      <c r="S35" s="11"/>
      <c r="T35" s="11"/>
      <c r="U35" s="11"/>
      <c r="V35" s="11"/>
      <c r="W35" s="11"/>
      <c r="X35" s="11"/>
      <c r="Y35" s="11"/>
      <c r="Z35" s="11"/>
      <c r="AA35" s="11"/>
      <c r="AB35" s="11"/>
      <c r="AC35" s="11"/>
      <c r="AD35" s="11"/>
      <c r="AE35" s="11"/>
      <c r="AF35" s="11"/>
      <c r="AG35" s="11"/>
      <c r="AH35" s="33"/>
      <c r="AI35" s="33"/>
      <c r="AJ35" s="33"/>
    </row>
    <row r="36" spans="2:39" hidden="1" x14ac:dyDescent="0.3">
      <c r="B36" s="31"/>
      <c r="C36" s="33"/>
      <c r="D36" s="33"/>
      <c r="E36" s="33"/>
      <c r="F36" s="33"/>
      <c r="G36" s="33"/>
      <c r="H36" s="33"/>
      <c r="I36" s="33"/>
      <c r="J36" s="33"/>
      <c r="K36" s="33"/>
      <c r="L36" s="33"/>
      <c r="M36" s="33"/>
      <c r="N36" s="33"/>
      <c r="O36" s="33"/>
      <c r="P36" s="33"/>
      <c r="Q36" s="33"/>
      <c r="R36" s="33"/>
      <c r="S36" s="33"/>
      <c r="T36" s="33"/>
      <c r="U36" s="33"/>
      <c r="V36" s="33"/>
      <c r="W36" s="33"/>
      <c r="X36" s="33"/>
      <c r="Y36" s="33"/>
      <c r="Z36" s="33"/>
      <c r="AA36" s="33"/>
      <c r="AB36" s="33"/>
      <c r="AC36" s="33"/>
      <c r="AD36" s="33"/>
      <c r="AE36" s="33"/>
      <c r="AF36" s="33"/>
      <c r="AG36" s="33"/>
      <c r="AH36" s="33"/>
      <c r="AI36" s="33"/>
      <c r="AJ36" s="33"/>
    </row>
    <row r="37" spans="2:39" ht="11.4" customHeight="1" x14ac:dyDescent="0.3">
      <c r="B37" s="31"/>
      <c r="C37" s="56" t="s">
        <v>45</v>
      </c>
      <c r="D37" s="56"/>
      <c r="E37" s="56"/>
      <c r="F37" s="56"/>
      <c r="G37" s="56"/>
      <c r="H37" s="56"/>
      <c r="I37" s="56"/>
      <c r="J37" s="56"/>
      <c r="K37" s="56"/>
      <c r="L37" s="56"/>
      <c r="M37" s="56"/>
      <c r="N37" s="56"/>
      <c r="O37" s="56"/>
      <c r="P37" s="56"/>
      <c r="Q37" s="56"/>
      <c r="R37" s="56"/>
      <c r="S37" s="56"/>
      <c r="T37" s="56"/>
      <c r="U37" s="56"/>
      <c r="V37" s="56"/>
      <c r="W37" s="56"/>
      <c r="X37" s="56"/>
      <c r="Y37" s="56"/>
      <c r="Z37" s="56"/>
      <c r="AA37" s="56"/>
      <c r="AB37" s="56"/>
      <c r="AC37" s="56"/>
      <c r="AD37" s="56"/>
      <c r="AE37" s="56"/>
      <c r="AF37" s="56"/>
      <c r="AG37" s="56"/>
      <c r="AH37" s="33"/>
      <c r="AI37" s="33"/>
      <c r="AJ37" s="33"/>
    </row>
    <row r="38" spans="2:39" hidden="1" x14ac:dyDescent="0.3">
      <c r="B38" s="31"/>
      <c r="C38" s="33"/>
      <c r="D38" s="33"/>
      <c r="E38" s="33"/>
      <c r="F38" s="33"/>
      <c r="G38" s="33"/>
      <c r="H38" s="33"/>
      <c r="I38" s="33"/>
      <c r="J38" s="33"/>
      <c r="K38" s="33"/>
      <c r="L38" s="33"/>
      <c r="M38" s="33"/>
      <c r="N38" s="33"/>
      <c r="O38" s="33"/>
      <c r="P38" s="33"/>
      <c r="Q38" s="33"/>
      <c r="R38" s="33"/>
      <c r="S38" s="33"/>
      <c r="T38" s="33"/>
      <c r="U38" s="33"/>
      <c r="V38" s="33"/>
      <c r="W38" s="33"/>
      <c r="X38" s="33"/>
      <c r="Y38" s="33"/>
      <c r="Z38" s="33"/>
      <c r="AA38" s="33"/>
      <c r="AB38" s="33"/>
      <c r="AC38" s="33"/>
      <c r="AD38" s="33"/>
      <c r="AE38" s="33"/>
      <c r="AF38" s="33"/>
      <c r="AG38" s="33"/>
      <c r="AH38" s="33"/>
      <c r="AI38" s="33"/>
      <c r="AJ38" s="33"/>
    </row>
    <row r="39" spans="2:39" ht="15.6" x14ac:dyDescent="0.3">
      <c r="B39" s="34"/>
      <c r="C39" s="57" t="s">
        <v>46</v>
      </c>
      <c r="D39" s="57"/>
      <c r="E39" s="57"/>
      <c r="F39" s="57"/>
      <c r="G39" s="57"/>
      <c r="H39" s="57"/>
      <c r="I39" s="57"/>
      <c r="J39" s="57"/>
      <c r="K39" s="57"/>
      <c r="L39" s="57"/>
      <c r="M39" s="57"/>
      <c r="N39" s="57"/>
      <c r="O39" s="57"/>
      <c r="P39" s="45" t="s">
        <v>15</v>
      </c>
      <c r="Q39" s="45"/>
      <c r="R39" s="45"/>
      <c r="S39" s="45"/>
      <c r="T39" s="33"/>
      <c r="U39" s="33"/>
      <c r="V39" s="33"/>
      <c r="W39" s="33"/>
      <c r="X39" s="33"/>
      <c r="Y39" s="33"/>
      <c r="Z39" s="33"/>
      <c r="AA39" s="33"/>
      <c r="AB39" s="33"/>
      <c r="AC39" s="33"/>
      <c r="AD39" s="33"/>
      <c r="AE39" s="33"/>
      <c r="AF39" s="33"/>
      <c r="AG39" s="33"/>
      <c r="AH39" s="33"/>
      <c r="AI39" s="33"/>
      <c r="AJ39" s="33"/>
    </row>
    <row r="40" spans="2:39" x14ac:dyDescent="0.3">
      <c r="B40" s="14"/>
      <c r="C40" s="55" t="s">
        <v>47</v>
      </c>
      <c r="D40" s="55"/>
      <c r="E40" s="55"/>
      <c r="F40" s="55"/>
      <c r="G40" s="55"/>
      <c r="H40" s="55"/>
      <c r="I40" s="55"/>
      <c r="J40" s="55"/>
      <c r="K40" s="55"/>
      <c r="L40" s="55"/>
      <c r="M40" s="55"/>
      <c r="N40" s="55"/>
      <c r="O40" s="55"/>
      <c r="P40" s="48">
        <v>65</v>
      </c>
      <c r="Q40" s="48"/>
      <c r="R40" s="48"/>
      <c r="S40" s="48"/>
      <c r="T40" s="33"/>
      <c r="U40" s="33"/>
      <c r="V40" s="33"/>
      <c r="W40" s="33"/>
      <c r="X40" s="33"/>
      <c r="Y40" s="33"/>
      <c r="Z40" s="33"/>
      <c r="AA40" s="33"/>
      <c r="AB40" s="33"/>
      <c r="AC40" s="33"/>
      <c r="AD40" s="33"/>
      <c r="AE40" s="33"/>
      <c r="AF40" s="33"/>
      <c r="AG40" s="33"/>
      <c r="AH40" s="33"/>
      <c r="AI40" s="33"/>
      <c r="AJ40" s="33"/>
      <c r="AM40" s="3">
        <f>IF($B40="X",$P40,0)</f>
        <v>0</v>
      </c>
    </row>
    <row r="41" spans="2:39" x14ac:dyDescent="0.3">
      <c r="B41" s="14"/>
      <c r="C41" s="55" t="s">
        <v>48</v>
      </c>
      <c r="D41" s="55"/>
      <c r="E41" s="55"/>
      <c r="F41" s="55"/>
      <c r="G41" s="55"/>
      <c r="H41" s="55"/>
      <c r="I41" s="55"/>
      <c r="J41" s="55"/>
      <c r="K41" s="55"/>
      <c r="L41" s="55"/>
      <c r="M41" s="55"/>
      <c r="N41" s="55"/>
      <c r="O41" s="55"/>
      <c r="P41" s="48">
        <v>90</v>
      </c>
      <c r="Q41" s="48"/>
      <c r="R41" s="48"/>
      <c r="S41" s="48"/>
      <c r="T41" s="33"/>
      <c r="U41" s="33"/>
      <c r="V41" s="33"/>
      <c r="W41" s="33"/>
      <c r="X41" s="33"/>
      <c r="Y41" s="33"/>
      <c r="Z41" s="33"/>
      <c r="AA41" s="33"/>
      <c r="AB41" s="33"/>
      <c r="AC41" s="33"/>
      <c r="AD41" s="33"/>
      <c r="AE41" s="33"/>
      <c r="AF41" s="33"/>
      <c r="AG41" s="33"/>
      <c r="AH41" s="33"/>
      <c r="AI41" s="33"/>
      <c r="AJ41" s="33"/>
      <c r="AM41" s="3">
        <f>IF($B41="X",$P41,0)</f>
        <v>0</v>
      </c>
    </row>
    <row r="42" spans="2:39" x14ac:dyDescent="0.3">
      <c r="B42" s="14"/>
      <c r="C42" s="55" t="s">
        <v>49</v>
      </c>
      <c r="D42" s="55"/>
      <c r="E42" s="55"/>
      <c r="F42" s="55"/>
      <c r="G42" s="55"/>
      <c r="H42" s="55"/>
      <c r="I42" s="55"/>
      <c r="J42" s="55"/>
      <c r="K42" s="55"/>
      <c r="L42" s="55"/>
      <c r="M42" s="55"/>
      <c r="N42" s="55"/>
      <c r="O42" s="55"/>
      <c r="P42" s="48">
        <v>125</v>
      </c>
      <c r="Q42" s="48"/>
      <c r="R42" s="48"/>
      <c r="S42" s="48"/>
      <c r="T42" s="33"/>
      <c r="U42" s="33"/>
      <c r="V42" s="33"/>
      <c r="W42" s="33"/>
      <c r="X42" s="33"/>
      <c r="Y42" s="33"/>
      <c r="Z42" s="33"/>
      <c r="AA42" s="33"/>
      <c r="AB42" s="33"/>
      <c r="AC42" s="33"/>
      <c r="AD42" s="33"/>
      <c r="AE42" s="33"/>
      <c r="AF42" s="33"/>
      <c r="AG42" s="33"/>
      <c r="AH42" s="33"/>
      <c r="AI42" s="33"/>
      <c r="AJ42" s="33"/>
      <c r="AM42" s="3">
        <f>IF($B42="X",$P42,0)</f>
        <v>0</v>
      </c>
    </row>
    <row r="43" spans="2:39" x14ac:dyDescent="0.3">
      <c r="B43" s="33"/>
      <c r="C43" s="33"/>
      <c r="D43" s="33"/>
      <c r="E43" s="33"/>
      <c r="F43" s="33"/>
      <c r="G43" s="33"/>
      <c r="H43" s="33"/>
      <c r="I43" s="33"/>
      <c r="J43" s="33"/>
      <c r="K43" s="33"/>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M43" s="15">
        <f>SUM(AM40:AM42)</f>
        <v>0</v>
      </c>
    </row>
    <row r="44" spans="2:39" x14ac:dyDescent="0.3">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row>
    <row r="45" spans="2:39" hidden="1" x14ac:dyDescent="0.3">
      <c r="B45" s="33"/>
      <c r="C45" s="33"/>
      <c r="D45" s="33"/>
      <c r="E45" s="33"/>
      <c r="F45" s="33"/>
      <c r="G45" s="33"/>
      <c r="H45" s="33"/>
      <c r="I45" s="33"/>
      <c r="J45" s="33"/>
      <c r="K45" s="33"/>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row>
    <row r="46" spans="2:39" ht="15.6" x14ac:dyDescent="0.3">
      <c r="B46" s="31"/>
      <c r="C46" s="59" t="s">
        <v>50</v>
      </c>
      <c r="D46" s="59"/>
      <c r="E46" s="59"/>
      <c r="F46" s="59"/>
      <c r="G46" s="59"/>
      <c r="H46" s="59"/>
      <c r="I46" s="59"/>
      <c r="J46" s="59"/>
      <c r="K46" s="59"/>
      <c r="L46" s="59"/>
      <c r="M46" s="59"/>
      <c r="N46" s="59"/>
      <c r="O46" s="59"/>
      <c r="P46" s="11"/>
      <c r="Q46" s="11"/>
      <c r="R46" s="11"/>
      <c r="S46" s="11"/>
      <c r="T46" s="11"/>
      <c r="U46" s="11"/>
      <c r="V46" s="11"/>
      <c r="W46" s="11"/>
      <c r="X46" s="11"/>
      <c r="Y46" s="11"/>
      <c r="Z46" s="11"/>
      <c r="AA46" s="11"/>
      <c r="AB46" s="11"/>
      <c r="AC46" s="11"/>
      <c r="AD46" s="11"/>
      <c r="AE46" s="11"/>
      <c r="AF46" s="11"/>
      <c r="AG46" s="11"/>
      <c r="AH46" s="33"/>
      <c r="AI46" s="33"/>
      <c r="AJ46" s="33"/>
    </row>
    <row r="47" spans="2:39" hidden="1" x14ac:dyDescent="0.3">
      <c r="B47" s="31"/>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row>
    <row r="48" spans="2:39" ht="31.5" customHeight="1" x14ac:dyDescent="0.3">
      <c r="B48" s="31"/>
      <c r="C48" s="56" t="s">
        <v>51</v>
      </c>
      <c r="D48" s="56"/>
      <c r="E48" s="56"/>
      <c r="F48" s="56"/>
      <c r="G48" s="56"/>
      <c r="H48" s="56"/>
      <c r="I48" s="56"/>
      <c r="J48" s="56"/>
      <c r="K48" s="56"/>
      <c r="L48" s="56"/>
      <c r="M48" s="56"/>
      <c r="N48" s="56"/>
      <c r="O48" s="56"/>
      <c r="P48" s="56"/>
      <c r="Q48" s="56"/>
      <c r="R48" s="56"/>
      <c r="S48" s="56"/>
      <c r="T48" s="56"/>
      <c r="U48" s="56"/>
      <c r="V48" s="56"/>
      <c r="W48" s="56"/>
      <c r="X48" s="56"/>
      <c r="Y48" s="56"/>
      <c r="Z48" s="56"/>
      <c r="AA48" s="56"/>
      <c r="AB48" s="56"/>
      <c r="AC48" s="56"/>
      <c r="AD48" s="56"/>
      <c r="AE48" s="56"/>
      <c r="AF48" s="56"/>
      <c r="AG48" s="56"/>
      <c r="AH48" s="33"/>
      <c r="AI48" s="33"/>
      <c r="AJ48" s="33"/>
    </row>
    <row r="49" spans="2:39" hidden="1" x14ac:dyDescent="0.3">
      <c r="B49" s="31"/>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row>
    <row r="50" spans="2:39" ht="15.6" x14ac:dyDescent="0.3">
      <c r="B50" s="34"/>
      <c r="C50" s="43" t="s">
        <v>52</v>
      </c>
      <c r="D50" s="43"/>
      <c r="E50" s="43"/>
      <c r="F50" s="43"/>
      <c r="G50" s="43"/>
      <c r="H50" s="43"/>
      <c r="I50" s="43"/>
      <c r="J50" s="43"/>
      <c r="K50" s="43"/>
      <c r="L50" s="43"/>
      <c r="M50" s="43"/>
      <c r="N50" s="43"/>
      <c r="O50" s="43"/>
      <c r="P50" s="45" t="s">
        <v>15</v>
      </c>
      <c r="Q50" s="45"/>
      <c r="R50" s="45"/>
      <c r="S50" s="45"/>
      <c r="T50" s="33"/>
      <c r="U50" s="33"/>
      <c r="V50" s="33"/>
      <c r="W50" s="33"/>
      <c r="X50" s="33"/>
      <c r="Y50" s="33"/>
      <c r="Z50" s="33"/>
      <c r="AA50" s="33"/>
      <c r="AB50" s="33"/>
      <c r="AC50" s="33"/>
      <c r="AD50" s="33"/>
      <c r="AE50" s="33"/>
      <c r="AF50" s="33"/>
      <c r="AG50" s="33"/>
      <c r="AH50" s="33"/>
      <c r="AI50" s="33"/>
      <c r="AJ50" s="33"/>
    </row>
    <row r="51" spans="2:39" x14ac:dyDescent="0.3">
      <c r="B51" s="14"/>
      <c r="C51" s="55" t="s">
        <v>53</v>
      </c>
      <c r="D51" s="55"/>
      <c r="E51" s="55"/>
      <c r="F51" s="55"/>
      <c r="G51" s="55"/>
      <c r="H51" s="55"/>
      <c r="I51" s="55"/>
      <c r="J51" s="55"/>
      <c r="K51" s="55"/>
      <c r="L51" s="55"/>
      <c r="M51" s="55"/>
      <c r="N51" s="55"/>
      <c r="O51" s="55"/>
      <c r="P51" s="48">
        <v>25</v>
      </c>
      <c r="Q51" s="48"/>
      <c r="R51" s="48"/>
      <c r="S51" s="48"/>
      <c r="T51" s="33"/>
      <c r="U51" s="33"/>
      <c r="V51" s="33"/>
      <c r="W51" s="33"/>
      <c r="X51" s="33"/>
      <c r="Y51" s="33"/>
      <c r="Z51" s="33"/>
      <c r="AA51" s="33"/>
      <c r="AB51" s="33"/>
      <c r="AC51" s="33"/>
      <c r="AD51" s="33"/>
      <c r="AE51" s="33"/>
      <c r="AF51" s="33"/>
      <c r="AG51" s="33"/>
      <c r="AH51" s="33"/>
      <c r="AI51" s="33"/>
      <c r="AJ51" s="33"/>
      <c r="AM51" s="3">
        <f t="shared" ref="AM51:AM66" si="1">IF($B51="X",$P51,0)</f>
        <v>0</v>
      </c>
    </row>
    <row r="52" spans="2:39" x14ac:dyDescent="0.3">
      <c r="B52" s="14"/>
      <c r="C52" s="58" t="s">
        <v>54</v>
      </c>
      <c r="D52" s="58"/>
      <c r="E52" s="58"/>
      <c r="F52" s="58"/>
      <c r="G52" s="58"/>
      <c r="H52" s="58"/>
      <c r="I52" s="58"/>
      <c r="J52" s="58"/>
      <c r="K52" s="58"/>
      <c r="L52" s="58"/>
      <c r="M52" s="58"/>
      <c r="N52" s="58"/>
      <c r="O52" s="58"/>
      <c r="P52" s="54">
        <v>30</v>
      </c>
      <c r="Q52" s="54"/>
      <c r="R52" s="54"/>
      <c r="S52" s="54"/>
      <c r="T52" s="33"/>
      <c r="U52" s="33"/>
      <c r="V52" s="33"/>
      <c r="W52" s="33"/>
      <c r="X52" s="33"/>
      <c r="Y52" s="33"/>
      <c r="Z52" s="33"/>
      <c r="AA52" s="33"/>
      <c r="AB52" s="33"/>
      <c r="AC52" s="33"/>
      <c r="AD52" s="33"/>
      <c r="AE52" s="33"/>
      <c r="AF52" s="33"/>
      <c r="AG52" s="33"/>
      <c r="AH52" s="33"/>
      <c r="AI52" s="33"/>
      <c r="AJ52" s="33"/>
      <c r="AM52" s="3">
        <f t="shared" si="1"/>
        <v>0</v>
      </c>
    </row>
    <row r="53" spans="2:39" x14ac:dyDescent="0.3">
      <c r="B53" s="14"/>
      <c r="C53" s="55" t="s">
        <v>55</v>
      </c>
      <c r="D53" s="55"/>
      <c r="E53" s="55"/>
      <c r="F53" s="55"/>
      <c r="G53" s="55"/>
      <c r="H53" s="55"/>
      <c r="I53" s="55"/>
      <c r="J53" s="55"/>
      <c r="K53" s="55"/>
      <c r="L53" s="55"/>
      <c r="M53" s="55"/>
      <c r="N53" s="55"/>
      <c r="O53" s="55"/>
      <c r="P53" s="48">
        <v>35</v>
      </c>
      <c r="Q53" s="48"/>
      <c r="R53" s="48"/>
      <c r="S53" s="48"/>
      <c r="T53" s="33"/>
      <c r="U53" s="33"/>
      <c r="V53" s="33"/>
      <c r="W53" s="33"/>
      <c r="X53" s="33"/>
      <c r="Y53" s="33"/>
      <c r="Z53" s="33"/>
      <c r="AA53" s="33"/>
      <c r="AB53" s="33"/>
      <c r="AC53" s="33"/>
      <c r="AD53" s="33"/>
      <c r="AE53" s="33"/>
      <c r="AF53" s="33"/>
      <c r="AG53" s="33"/>
      <c r="AH53" s="33"/>
      <c r="AI53" s="33"/>
      <c r="AJ53" s="33"/>
      <c r="AM53" s="3">
        <f t="shared" si="1"/>
        <v>0</v>
      </c>
    </row>
    <row r="54" spans="2:39" x14ac:dyDescent="0.3">
      <c r="B54" s="14"/>
      <c r="C54" s="58" t="s">
        <v>56</v>
      </c>
      <c r="D54" s="58"/>
      <c r="E54" s="58"/>
      <c r="F54" s="58"/>
      <c r="G54" s="58"/>
      <c r="H54" s="58"/>
      <c r="I54" s="58"/>
      <c r="J54" s="58"/>
      <c r="K54" s="58"/>
      <c r="L54" s="58"/>
      <c r="M54" s="58"/>
      <c r="N54" s="58"/>
      <c r="O54" s="58"/>
      <c r="P54" s="54">
        <v>40</v>
      </c>
      <c r="Q54" s="54"/>
      <c r="R54" s="54"/>
      <c r="S54" s="54"/>
      <c r="T54" s="33"/>
      <c r="U54" s="33"/>
      <c r="V54" s="33"/>
      <c r="W54" s="33"/>
      <c r="X54" s="33"/>
      <c r="Y54" s="33"/>
      <c r="Z54" s="33"/>
      <c r="AA54" s="33"/>
      <c r="AB54" s="33"/>
      <c r="AC54" s="33"/>
      <c r="AD54" s="33"/>
      <c r="AE54" s="33"/>
      <c r="AF54" s="33"/>
      <c r="AG54" s="33"/>
      <c r="AH54" s="33"/>
      <c r="AI54" s="33"/>
      <c r="AJ54" s="33"/>
      <c r="AM54" s="3">
        <f t="shared" si="1"/>
        <v>0</v>
      </c>
    </row>
    <row r="55" spans="2:39" x14ac:dyDescent="0.3">
      <c r="B55" s="14"/>
      <c r="C55" s="55" t="s">
        <v>57</v>
      </c>
      <c r="D55" s="55"/>
      <c r="E55" s="55"/>
      <c r="F55" s="55"/>
      <c r="G55" s="55"/>
      <c r="H55" s="55"/>
      <c r="I55" s="55"/>
      <c r="J55" s="55"/>
      <c r="K55" s="55"/>
      <c r="L55" s="55"/>
      <c r="M55" s="55"/>
      <c r="N55" s="55"/>
      <c r="O55" s="55"/>
      <c r="P55" s="48">
        <v>45</v>
      </c>
      <c r="Q55" s="48"/>
      <c r="R55" s="48"/>
      <c r="S55" s="48"/>
      <c r="T55" s="33"/>
      <c r="U55" s="33"/>
      <c r="V55" s="33"/>
      <c r="W55" s="33"/>
      <c r="X55" s="33"/>
      <c r="Y55" s="33"/>
      <c r="Z55" s="33"/>
      <c r="AA55" s="33"/>
      <c r="AB55" s="33"/>
      <c r="AC55" s="33"/>
      <c r="AD55" s="33"/>
      <c r="AE55" s="33"/>
      <c r="AF55" s="33"/>
      <c r="AG55" s="33"/>
      <c r="AH55" s="33"/>
      <c r="AI55" s="33"/>
      <c r="AJ55" s="33"/>
      <c r="AM55" s="3">
        <f t="shared" si="1"/>
        <v>0</v>
      </c>
    </row>
    <row r="56" spans="2:39" x14ac:dyDescent="0.3">
      <c r="B56" s="14"/>
      <c r="C56" s="58" t="s">
        <v>58</v>
      </c>
      <c r="D56" s="58"/>
      <c r="E56" s="58"/>
      <c r="F56" s="58"/>
      <c r="G56" s="58"/>
      <c r="H56" s="58"/>
      <c r="I56" s="58"/>
      <c r="J56" s="58"/>
      <c r="K56" s="58"/>
      <c r="L56" s="58"/>
      <c r="M56" s="58"/>
      <c r="N56" s="58"/>
      <c r="O56" s="58"/>
      <c r="P56" s="54">
        <v>50</v>
      </c>
      <c r="Q56" s="54"/>
      <c r="R56" s="54"/>
      <c r="S56" s="54"/>
      <c r="T56" s="33"/>
      <c r="U56" s="33"/>
      <c r="V56" s="33"/>
      <c r="W56" s="33"/>
      <c r="X56" s="33"/>
      <c r="Y56" s="33"/>
      <c r="Z56" s="33"/>
      <c r="AA56" s="33"/>
      <c r="AB56" s="33"/>
      <c r="AC56" s="33"/>
      <c r="AD56" s="33"/>
      <c r="AE56" s="33"/>
      <c r="AF56" s="33"/>
      <c r="AG56" s="33"/>
      <c r="AH56" s="33"/>
      <c r="AI56" s="33"/>
      <c r="AJ56" s="33"/>
      <c r="AM56" s="3">
        <f t="shared" si="1"/>
        <v>0</v>
      </c>
    </row>
    <row r="57" spans="2:39" x14ac:dyDescent="0.3">
      <c r="B57" s="14"/>
      <c r="C57" s="55" t="s">
        <v>59</v>
      </c>
      <c r="D57" s="55"/>
      <c r="E57" s="55"/>
      <c r="F57" s="55"/>
      <c r="G57" s="55"/>
      <c r="H57" s="55"/>
      <c r="I57" s="55"/>
      <c r="J57" s="55"/>
      <c r="K57" s="55"/>
      <c r="L57" s="55"/>
      <c r="M57" s="55"/>
      <c r="N57" s="55"/>
      <c r="O57" s="55"/>
      <c r="P57" s="48">
        <v>55</v>
      </c>
      <c r="Q57" s="48"/>
      <c r="R57" s="48"/>
      <c r="S57" s="48"/>
      <c r="T57" s="33"/>
      <c r="U57" s="33"/>
      <c r="V57" s="33"/>
      <c r="W57" s="33"/>
      <c r="X57" s="33"/>
      <c r="Y57" s="33"/>
      <c r="Z57" s="33"/>
      <c r="AA57" s="33"/>
      <c r="AB57" s="33"/>
      <c r="AC57" s="33"/>
      <c r="AD57" s="33"/>
      <c r="AE57" s="33"/>
      <c r="AF57" s="33"/>
      <c r="AG57" s="33"/>
      <c r="AH57" s="33"/>
      <c r="AI57" s="33"/>
      <c r="AJ57" s="33"/>
      <c r="AM57" s="3">
        <f t="shared" si="1"/>
        <v>0</v>
      </c>
    </row>
    <row r="58" spans="2:39" x14ac:dyDescent="0.3">
      <c r="B58" s="14"/>
      <c r="C58" s="58" t="s">
        <v>60</v>
      </c>
      <c r="D58" s="58"/>
      <c r="E58" s="58"/>
      <c r="F58" s="58"/>
      <c r="G58" s="58"/>
      <c r="H58" s="58"/>
      <c r="I58" s="58"/>
      <c r="J58" s="58"/>
      <c r="K58" s="58"/>
      <c r="L58" s="58"/>
      <c r="M58" s="58"/>
      <c r="N58" s="58"/>
      <c r="O58" s="58"/>
      <c r="P58" s="54">
        <v>60</v>
      </c>
      <c r="Q58" s="54"/>
      <c r="R58" s="54"/>
      <c r="S58" s="54"/>
      <c r="T58" s="33"/>
      <c r="U58" s="33"/>
      <c r="V58" s="33"/>
      <c r="W58" s="33"/>
      <c r="X58" s="33"/>
      <c r="Y58" s="33"/>
      <c r="Z58" s="33"/>
      <c r="AA58" s="33"/>
      <c r="AB58" s="33"/>
      <c r="AC58" s="33"/>
      <c r="AD58" s="33"/>
      <c r="AE58" s="33"/>
      <c r="AF58" s="33"/>
      <c r="AG58" s="33"/>
      <c r="AH58" s="33"/>
      <c r="AI58" s="33"/>
      <c r="AJ58" s="33"/>
      <c r="AM58" s="3">
        <f t="shared" si="1"/>
        <v>0</v>
      </c>
    </row>
    <row r="59" spans="2:39" x14ac:dyDescent="0.3">
      <c r="B59" s="14"/>
      <c r="C59" s="55" t="s">
        <v>61</v>
      </c>
      <c r="D59" s="55"/>
      <c r="E59" s="55"/>
      <c r="F59" s="55"/>
      <c r="G59" s="55"/>
      <c r="H59" s="55"/>
      <c r="I59" s="55"/>
      <c r="J59" s="55"/>
      <c r="K59" s="55"/>
      <c r="L59" s="55"/>
      <c r="M59" s="55"/>
      <c r="N59" s="55"/>
      <c r="O59" s="55"/>
      <c r="P59" s="48">
        <v>70</v>
      </c>
      <c r="Q59" s="48"/>
      <c r="R59" s="48"/>
      <c r="S59" s="48"/>
      <c r="T59" s="33"/>
      <c r="U59" s="33"/>
      <c r="V59" s="33"/>
      <c r="W59" s="33"/>
      <c r="X59" s="33"/>
      <c r="Y59" s="33"/>
      <c r="Z59" s="33"/>
      <c r="AA59" s="33"/>
      <c r="AB59" s="33"/>
      <c r="AC59" s="33"/>
      <c r="AD59" s="33"/>
      <c r="AE59" s="33"/>
      <c r="AF59" s="33"/>
      <c r="AG59" s="33"/>
      <c r="AH59" s="33"/>
      <c r="AI59" s="33"/>
      <c r="AJ59" s="33"/>
      <c r="AM59" s="3">
        <f t="shared" si="1"/>
        <v>0</v>
      </c>
    </row>
    <row r="60" spans="2:39" x14ac:dyDescent="0.3">
      <c r="B60" s="14"/>
      <c r="C60" s="58" t="s">
        <v>62</v>
      </c>
      <c r="D60" s="58"/>
      <c r="E60" s="58"/>
      <c r="F60" s="58"/>
      <c r="G60" s="58"/>
      <c r="H60" s="58"/>
      <c r="I60" s="58"/>
      <c r="J60" s="58"/>
      <c r="K60" s="58"/>
      <c r="L60" s="58"/>
      <c r="M60" s="58"/>
      <c r="N60" s="58"/>
      <c r="O60" s="58"/>
      <c r="P60" s="54">
        <v>80</v>
      </c>
      <c r="Q60" s="54"/>
      <c r="R60" s="54"/>
      <c r="S60" s="54"/>
      <c r="T60" s="33"/>
      <c r="U60" s="33"/>
      <c r="V60" s="33"/>
      <c r="W60" s="33"/>
      <c r="X60" s="33"/>
      <c r="Y60" s="33"/>
      <c r="Z60" s="33"/>
      <c r="AA60" s="33"/>
      <c r="AB60" s="33"/>
      <c r="AC60" s="33"/>
      <c r="AD60" s="33"/>
      <c r="AE60" s="33"/>
      <c r="AF60" s="33"/>
      <c r="AG60" s="33"/>
      <c r="AH60" s="33"/>
      <c r="AI60" s="33"/>
      <c r="AJ60" s="33"/>
      <c r="AM60" s="3">
        <f t="shared" si="1"/>
        <v>0</v>
      </c>
    </row>
    <row r="61" spans="2:39" x14ac:dyDescent="0.3">
      <c r="B61" s="14"/>
      <c r="C61" s="55" t="s">
        <v>63</v>
      </c>
      <c r="D61" s="55"/>
      <c r="E61" s="55"/>
      <c r="F61" s="55"/>
      <c r="G61" s="55"/>
      <c r="H61" s="55"/>
      <c r="I61" s="55"/>
      <c r="J61" s="55"/>
      <c r="K61" s="55"/>
      <c r="L61" s="55"/>
      <c r="M61" s="55"/>
      <c r="N61" s="55"/>
      <c r="O61" s="55"/>
      <c r="P61" s="48">
        <v>90</v>
      </c>
      <c r="Q61" s="48"/>
      <c r="R61" s="48"/>
      <c r="S61" s="48"/>
      <c r="T61" s="33"/>
      <c r="U61" s="33"/>
      <c r="V61" s="33"/>
      <c r="W61" s="33"/>
      <c r="X61" s="33"/>
      <c r="Y61" s="33"/>
      <c r="Z61" s="33"/>
      <c r="AA61" s="33"/>
      <c r="AB61" s="33"/>
      <c r="AC61" s="33"/>
      <c r="AD61" s="33"/>
      <c r="AE61" s="33"/>
      <c r="AF61" s="33"/>
      <c r="AG61" s="33"/>
      <c r="AH61" s="33"/>
      <c r="AI61" s="33"/>
      <c r="AJ61" s="33"/>
      <c r="AM61" s="3">
        <f t="shared" si="1"/>
        <v>0</v>
      </c>
    </row>
    <row r="62" spans="2:39" x14ac:dyDescent="0.3">
      <c r="B62" s="14"/>
      <c r="C62" s="58" t="s">
        <v>64</v>
      </c>
      <c r="D62" s="58"/>
      <c r="E62" s="58"/>
      <c r="F62" s="58"/>
      <c r="G62" s="58"/>
      <c r="H62" s="58"/>
      <c r="I62" s="58"/>
      <c r="J62" s="58"/>
      <c r="K62" s="58"/>
      <c r="L62" s="58"/>
      <c r="M62" s="58"/>
      <c r="N62" s="58"/>
      <c r="O62" s="58"/>
      <c r="P62" s="54">
        <v>100</v>
      </c>
      <c r="Q62" s="54"/>
      <c r="R62" s="54"/>
      <c r="S62" s="54"/>
      <c r="T62" s="33"/>
      <c r="U62" s="33"/>
      <c r="V62" s="33"/>
      <c r="W62" s="33"/>
      <c r="X62" s="33"/>
      <c r="Y62" s="33"/>
      <c r="Z62" s="33"/>
      <c r="AA62" s="33"/>
      <c r="AB62" s="33"/>
      <c r="AC62" s="33"/>
      <c r="AD62" s="33"/>
      <c r="AE62" s="33"/>
      <c r="AF62" s="33"/>
      <c r="AG62" s="33"/>
      <c r="AH62" s="33"/>
      <c r="AI62" s="33"/>
      <c r="AJ62" s="33"/>
      <c r="AM62" s="3">
        <f t="shared" si="1"/>
        <v>0</v>
      </c>
    </row>
    <row r="63" spans="2:39" x14ac:dyDescent="0.3">
      <c r="B63" s="14"/>
      <c r="C63" s="55" t="s">
        <v>65</v>
      </c>
      <c r="D63" s="55"/>
      <c r="E63" s="55"/>
      <c r="F63" s="55"/>
      <c r="G63" s="55"/>
      <c r="H63" s="55"/>
      <c r="I63" s="55"/>
      <c r="J63" s="55"/>
      <c r="K63" s="55"/>
      <c r="L63" s="55"/>
      <c r="M63" s="55"/>
      <c r="N63" s="55"/>
      <c r="O63" s="55"/>
      <c r="P63" s="48">
        <v>113</v>
      </c>
      <c r="Q63" s="48"/>
      <c r="R63" s="48"/>
      <c r="S63" s="48"/>
      <c r="T63" s="33"/>
      <c r="U63" s="33"/>
      <c r="V63" s="33"/>
      <c r="W63" s="33"/>
      <c r="X63" s="33"/>
      <c r="Y63" s="33"/>
      <c r="Z63" s="33"/>
      <c r="AA63" s="33"/>
      <c r="AB63" s="33"/>
      <c r="AC63" s="33"/>
      <c r="AD63" s="33"/>
      <c r="AE63" s="33"/>
      <c r="AF63" s="33"/>
      <c r="AG63" s="33"/>
      <c r="AH63" s="33"/>
      <c r="AI63" s="33"/>
      <c r="AJ63" s="33"/>
      <c r="AM63" s="3">
        <f t="shared" si="1"/>
        <v>0</v>
      </c>
    </row>
    <row r="64" spans="2:39" x14ac:dyDescent="0.3">
      <c r="B64" s="14"/>
      <c r="C64" s="58" t="s">
        <v>66</v>
      </c>
      <c r="D64" s="58"/>
      <c r="E64" s="58"/>
      <c r="F64" s="58"/>
      <c r="G64" s="58"/>
      <c r="H64" s="58"/>
      <c r="I64" s="58"/>
      <c r="J64" s="58"/>
      <c r="K64" s="58"/>
      <c r="L64" s="58"/>
      <c r="M64" s="58"/>
      <c r="N64" s="58"/>
      <c r="O64" s="58"/>
      <c r="P64" s="54">
        <v>125</v>
      </c>
      <c r="Q64" s="54"/>
      <c r="R64" s="54"/>
      <c r="S64" s="54"/>
      <c r="T64" s="33"/>
      <c r="U64" s="33"/>
      <c r="V64" s="33"/>
      <c r="W64" s="33"/>
      <c r="X64" s="33"/>
      <c r="Y64" s="33"/>
      <c r="Z64" s="33"/>
      <c r="AA64" s="33"/>
      <c r="AB64" s="33"/>
      <c r="AC64" s="33"/>
      <c r="AD64" s="33"/>
      <c r="AE64" s="33"/>
      <c r="AF64" s="33"/>
      <c r="AG64" s="33"/>
      <c r="AH64" s="33"/>
      <c r="AI64" s="33"/>
      <c r="AJ64" s="33"/>
      <c r="AM64" s="3">
        <f t="shared" si="1"/>
        <v>0</v>
      </c>
    </row>
    <row r="65" spans="2:39" x14ac:dyDescent="0.3">
      <c r="B65" s="14"/>
      <c r="C65" s="55" t="s">
        <v>67</v>
      </c>
      <c r="D65" s="55"/>
      <c r="E65" s="55"/>
      <c r="F65" s="55"/>
      <c r="G65" s="55"/>
      <c r="H65" s="55"/>
      <c r="I65" s="55"/>
      <c r="J65" s="55"/>
      <c r="K65" s="55"/>
      <c r="L65" s="55"/>
      <c r="M65" s="55"/>
      <c r="N65" s="55"/>
      <c r="O65" s="55"/>
      <c r="P65" s="48">
        <v>138</v>
      </c>
      <c r="Q65" s="48"/>
      <c r="R65" s="48"/>
      <c r="S65" s="48"/>
      <c r="T65" s="33"/>
      <c r="U65" s="33"/>
      <c r="V65" s="33"/>
      <c r="W65" s="33"/>
      <c r="X65" s="33"/>
      <c r="Y65" s="33"/>
      <c r="Z65" s="33"/>
      <c r="AA65" s="33"/>
      <c r="AB65" s="33"/>
      <c r="AC65" s="33"/>
      <c r="AD65" s="33"/>
      <c r="AE65" s="33"/>
      <c r="AF65" s="33"/>
      <c r="AG65" s="33"/>
      <c r="AH65" s="33"/>
      <c r="AI65" s="33"/>
      <c r="AJ65" s="33"/>
      <c r="AM65" s="3">
        <f t="shared" si="1"/>
        <v>0</v>
      </c>
    </row>
    <row r="66" spans="2:39" x14ac:dyDescent="0.3">
      <c r="B66" s="14"/>
      <c r="C66" s="58" t="s">
        <v>68</v>
      </c>
      <c r="D66" s="58"/>
      <c r="E66" s="58"/>
      <c r="F66" s="58"/>
      <c r="G66" s="58"/>
      <c r="H66" s="58"/>
      <c r="I66" s="58"/>
      <c r="J66" s="58"/>
      <c r="K66" s="58"/>
      <c r="L66" s="58"/>
      <c r="M66" s="58"/>
      <c r="N66" s="58"/>
      <c r="O66" s="58"/>
      <c r="P66" s="54">
        <v>150</v>
      </c>
      <c r="Q66" s="54"/>
      <c r="R66" s="54"/>
      <c r="S66" s="54"/>
      <c r="T66" s="33"/>
      <c r="U66" s="33"/>
      <c r="V66" s="33"/>
      <c r="W66" s="33"/>
      <c r="X66" s="33"/>
      <c r="Y66" s="33"/>
      <c r="Z66" s="33"/>
      <c r="AA66" s="33"/>
      <c r="AB66" s="33"/>
      <c r="AC66" s="33"/>
      <c r="AD66" s="33"/>
      <c r="AE66" s="33"/>
      <c r="AF66" s="33"/>
      <c r="AG66" s="33"/>
      <c r="AH66" s="33"/>
      <c r="AI66" s="33"/>
      <c r="AJ66" s="33"/>
      <c r="AM66" s="3">
        <f t="shared" si="1"/>
        <v>0</v>
      </c>
    </row>
    <row r="67" spans="2:39" ht="12" x14ac:dyDescent="0.3">
      <c r="B67" s="31"/>
      <c r="C67" s="33"/>
      <c r="D67" s="33"/>
      <c r="E67" s="33"/>
      <c r="F67" s="33"/>
      <c r="G67" s="33"/>
      <c r="H67" s="33"/>
      <c r="I67" s="33"/>
      <c r="J67" s="33"/>
      <c r="K67" s="33"/>
      <c r="L67" s="33"/>
      <c r="M67" s="33"/>
      <c r="N67" s="33"/>
      <c r="O67" s="33"/>
      <c r="P67" s="16"/>
      <c r="Q67" s="16"/>
      <c r="R67" s="16"/>
      <c r="S67" s="16"/>
      <c r="T67" s="33"/>
      <c r="U67" s="33"/>
      <c r="V67" s="33"/>
      <c r="W67" s="33"/>
      <c r="X67" s="33"/>
      <c r="Y67" s="33"/>
      <c r="Z67" s="33"/>
      <c r="AA67" s="33"/>
      <c r="AB67" s="33"/>
      <c r="AC67" s="33"/>
      <c r="AD67" s="33"/>
      <c r="AE67" s="33"/>
      <c r="AF67" s="33"/>
      <c r="AG67" s="33"/>
      <c r="AH67" s="33"/>
      <c r="AI67" s="33"/>
      <c r="AJ67" s="33"/>
      <c r="AM67" s="15">
        <f>SUM(AM51:AM66)</f>
        <v>0</v>
      </c>
    </row>
    <row r="68" spans="2:39" hidden="1" x14ac:dyDescent="0.3">
      <c r="B68" s="31"/>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row>
    <row r="69" spans="2:39" x14ac:dyDescent="0.3">
      <c r="B69" s="31"/>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row>
    <row r="70" spans="2:39" ht="15.6" x14ac:dyDescent="0.3">
      <c r="B70" s="30"/>
      <c r="C70" s="43" t="s">
        <v>69</v>
      </c>
      <c r="D70" s="43"/>
      <c r="E70" s="43"/>
      <c r="F70" s="43"/>
      <c r="G70" s="43"/>
      <c r="H70" s="43"/>
      <c r="I70" s="43"/>
      <c r="J70" s="43"/>
      <c r="K70" s="43"/>
      <c r="L70" s="12" t="s">
        <v>70</v>
      </c>
      <c r="M70" s="9"/>
      <c r="N70" s="9"/>
      <c r="O70" s="9"/>
      <c r="P70" s="9"/>
      <c r="Q70" s="9"/>
      <c r="R70" s="9"/>
      <c r="S70" s="9"/>
      <c r="T70" s="9"/>
      <c r="U70" s="9"/>
      <c r="V70" s="9"/>
      <c r="W70" s="9"/>
      <c r="X70" s="9"/>
      <c r="Y70" s="9"/>
      <c r="Z70" s="9"/>
      <c r="AA70" s="9"/>
      <c r="AB70" s="9"/>
      <c r="AC70" s="10"/>
      <c r="AD70" s="10"/>
      <c r="AE70" s="10"/>
      <c r="AF70" s="10"/>
      <c r="AG70" s="11"/>
      <c r="AH70" s="33"/>
      <c r="AI70" s="33"/>
      <c r="AJ70" s="33"/>
    </row>
    <row r="71" spans="2:39" hidden="1" x14ac:dyDescent="0.3">
      <c r="B71" s="31"/>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row>
    <row r="72" spans="2:39" ht="13.8" x14ac:dyDescent="0.3">
      <c r="B72" s="31"/>
      <c r="C72" s="51" t="s">
        <v>71</v>
      </c>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33"/>
      <c r="AI72" s="33"/>
      <c r="AJ72" s="33"/>
    </row>
    <row r="73" spans="2:39" hidden="1" x14ac:dyDescent="0.3">
      <c r="B73" s="31"/>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row>
    <row r="74" spans="2:39" ht="15.6" x14ac:dyDescent="0.3">
      <c r="B74" s="34"/>
      <c r="C74" s="43" t="s">
        <v>72</v>
      </c>
      <c r="D74" s="43"/>
      <c r="E74" s="43"/>
      <c r="F74" s="43"/>
      <c r="G74" s="43"/>
      <c r="H74" s="43"/>
      <c r="I74" s="43"/>
      <c r="J74" s="43"/>
      <c r="K74" s="43"/>
      <c r="L74" s="43"/>
      <c r="M74" s="43"/>
      <c r="N74" s="43"/>
      <c r="O74" s="43"/>
      <c r="P74" s="17"/>
      <c r="Q74" s="17"/>
      <c r="R74" s="17"/>
      <c r="S74" s="17"/>
      <c r="T74" s="17"/>
      <c r="U74" s="17"/>
      <c r="V74" s="17"/>
      <c r="W74" s="17"/>
      <c r="X74" s="17"/>
      <c r="Y74" s="17"/>
      <c r="Z74" s="60" t="s">
        <v>14</v>
      </c>
      <c r="AA74" s="60"/>
      <c r="AB74" s="60"/>
      <c r="AC74" s="60"/>
      <c r="AD74" s="45" t="s">
        <v>15</v>
      </c>
      <c r="AE74" s="45"/>
      <c r="AF74" s="45"/>
      <c r="AG74" s="45"/>
      <c r="AH74" s="33"/>
      <c r="AI74" s="33"/>
      <c r="AJ74" s="33"/>
    </row>
    <row r="75" spans="2:39" ht="15.6" customHeight="1" x14ac:dyDescent="0.3">
      <c r="B75" s="14"/>
      <c r="C75" s="46" t="s">
        <v>16</v>
      </c>
      <c r="D75" s="46"/>
      <c r="E75" s="46"/>
      <c r="F75" s="46"/>
      <c r="G75" s="46"/>
      <c r="H75" s="46"/>
      <c r="I75" s="46"/>
      <c r="J75" s="46"/>
      <c r="K75" s="46"/>
      <c r="L75" s="46"/>
      <c r="M75" s="46"/>
      <c r="N75" s="46"/>
      <c r="O75" s="46"/>
      <c r="P75" s="33"/>
      <c r="Q75" s="33"/>
      <c r="R75" s="33"/>
      <c r="S75" s="33"/>
      <c r="T75" s="33"/>
      <c r="U75" s="33"/>
      <c r="V75" s="33"/>
      <c r="W75" s="33"/>
      <c r="X75" s="33"/>
      <c r="Y75" s="33"/>
      <c r="Z75" s="47" t="s">
        <v>17</v>
      </c>
      <c r="AA75" s="47"/>
      <c r="AB75" s="47"/>
      <c r="AC75" s="47"/>
      <c r="AD75" s="48">
        <v>0</v>
      </c>
      <c r="AE75" s="48"/>
      <c r="AF75" s="48"/>
      <c r="AG75" s="48"/>
      <c r="AH75" s="33"/>
      <c r="AI75" s="33"/>
      <c r="AJ75" s="33"/>
      <c r="AM75" s="3">
        <f t="shared" ref="AM75:AM88" si="2">IF($B75="X",$AD75,0)</f>
        <v>0</v>
      </c>
    </row>
    <row r="76" spans="2:39" ht="23.4" customHeight="1" x14ac:dyDescent="0.3">
      <c r="B76" s="14"/>
      <c r="C76" s="52" t="s">
        <v>73</v>
      </c>
      <c r="D76" s="52"/>
      <c r="E76" s="52"/>
      <c r="F76" s="52"/>
      <c r="G76" s="52"/>
      <c r="H76" s="52"/>
      <c r="I76" s="52"/>
      <c r="J76" s="52"/>
      <c r="K76" s="52"/>
      <c r="L76" s="52"/>
      <c r="M76" s="52"/>
      <c r="N76" s="52"/>
      <c r="O76" s="52"/>
      <c r="P76" s="52"/>
      <c r="Q76" s="52"/>
      <c r="R76" s="52"/>
      <c r="S76" s="52"/>
      <c r="T76" s="52"/>
      <c r="U76" s="52"/>
      <c r="V76" s="52"/>
      <c r="W76" s="52"/>
      <c r="X76" s="52"/>
      <c r="Y76" s="52"/>
      <c r="Z76" s="53" t="s">
        <v>19</v>
      </c>
      <c r="AA76" s="53"/>
      <c r="AB76" s="53"/>
      <c r="AC76" s="53"/>
      <c r="AD76" s="54">
        <v>35</v>
      </c>
      <c r="AE76" s="54"/>
      <c r="AF76" s="54"/>
      <c r="AG76" s="54"/>
      <c r="AH76" s="33"/>
      <c r="AI76" s="33"/>
      <c r="AJ76" s="33"/>
      <c r="AM76" s="3">
        <f t="shared" si="2"/>
        <v>0</v>
      </c>
    </row>
    <row r="77" spans="2:39" ht="15.6" customHeight="1" x14ac:dyDescent="0.3">
      <c r="B77" s="14"/>
      <c r="C77" s="46" t="s">
        <v>20</v>
      </c>
      <c r="D77" s="46"/>
      <c r="E77" s="46"/>
      <c r="F77" s="46"/>
      <c r="G77" s="46"/>
      <c r="H77" s="46"/>
      <c r="I77" s="46"/>
      <c r="J77" s="46"/>
      <c r="K77" s="46"/>
      <c r="L77" s="46"/>
      <c r="M77" s="46"/>
      <c r="N77" s="46"/>
      <c r="O77" s="46"/>
      <c r="P77" s="33"/>
      <c r="Q77" s="33"/>
      <c r="R77" s="33"/>
      <c r="S77" s="33"/>
      <c r="T77" s="33"/>
      <c r="U77" s="33"/>
      <c r="V77" s="33"/>
      <c r="W77" s="33"/>
      <c r="X77" s="33"/>
      <c r="Y77" s="33"/>
      <c r="Z77" s="47" t="s">
        <v>21</v>
      </c>
      <c r="AA77" s="47"/>
      <c r="AB77" s="47"/>
      <c r="AC77" s="47"/>
      <c r="AD77" s="48">
        <v>40</v>
      </c>
      <c r="AE77" s="48"/>
      <c r="AF77" s="48"/>
      <c r="AG77" s="48"/>
      <c r="AH77" s="33"/>
      <c r="AI77" s="33"/>
      <c r="AJ77" s="33"/>
      <c r="AM77" s="3">
        <f t="shared" si="2"/>
        <v>0</v>
      </c>
    </row>
    <row r="78" spans="2:39" ht="35.1" customHeight="1" x14ac:dyDescent="0.3">
      <c r="B78" s="14"/>
      <c r="C78" s="52" t="s">
        <v>74</v>
      </c>
      <c r="D78" s="52"/>
      <c r="E78" s="52"/>
      <c r="F78" s="52"/>
      <c r="G78" s="52"/>
      <c r="H78" s="52"/>
      <c r="I78" s="52"/>
      <c r="J78" s="52"/>
      <c r="K78" s="52"/>
      <c r="L78" s="52"/>
      <c r="M78" s="52"/>
      <c r="N78" s="52"/>
      <c r="O78" s="52"/>
      <c r="P78" s="52"/>
      <c r="Q78" s="52"/>
      <c r="R78" s="52"/>
      <c r="S78" s="52"/>
      <c r="T78" s="52"/>
      <c r="U78" s="52"/>
      <c r="V78" s="52"/>
      <c r="W78" s="52"/>
      <c r="X78" s="52"/>
      <c r="Y78" s="52"/>
      <c r="Z78" s="53" t="s">
        <v>23</v>
      </c>
      <c r="AA78" s="53"/>
      <c r="AB78" s="53"/>
      <c r="AC78" s="53"/>
      <c r="AD78" s="54">
        <v>45</v>
      </c>
      <c r="AE78" s="54"/>
      <c r="AF78" s="54"/>
      <c r="AG78" s="54"/>
      <c r="AH78" s="33"/>
      <c r="AI78" s="33"/>
      <c r="AJ78" s="33"/>
      <c r="AM78" s="3">
        <f t="shared" si="2"/>
        <v>0</v>
      </c>
    </row>
    <row r="79" spans="2:39" ht="15.6" customHeight="1" x14ac:dyDescent="0.3">
      <c r="B79" s="14"/>
      <c r="C79" s="46" t="s">
        <v>24</v>
      </c>
      <c r="D79" s="46"/>
      <c r="E79" s="46"/>
      <c r="F79" s="46"/>
      <c r="G79" s="46"/>
      <c r="H79" s="46"/>
      <c r="I79" s="46"/>
      <c r="J79" s="46"/>
      <c r="K79" s="46"/>
      <c r="L79" s="46"/>
      <c r="M79" s="46"/>
      <c r="N79" s="46"/>
      <c r="O79" s="46"/>
      <c r="P79" s="33"/>
      <c r="Q79" s="33"/>
      <c r="R79" s="33"/>
      <c r="S79" s="33"/>
      <c r="T79" s="33"/>
      <c r="U79" s="33"/>
      <c r="V79" s="33"/>
      <c r="W79" s="33"/>
      <c r="X79" s="33"/>
      <c r="Y79" s="33"/>
      <c r="Z79" s="47" t="s">
        <v>25</v>
      </c>
      <c r="AA79" s="47"/>
      <c r="AB79" s="47"/>
      <c r="AC79" s="47"/>
      <c r="AD79" s="48">
        <v>50</v>
      </c>
      <c r="AE79" s="48"/>
      <c r="AF79" s="48"/>
      <c r="AG79" s="48"/>
      <c r="AH79" s="33"/>
      <c r="AI79" s="33"/>
      <c r="AJ79" s="33"/>
      <c r="AM79" s="3">
        <f t="shared" si="2"/>
        <v>0</v>
      </c>
    </row>
    <row r="80" spans="2:39" ht="35.1" customHeight="1" x14ac:dyDescent="0.3">
      <c r="B80" s="14"/>
      <c r="C80" s="52" t="s">
        <v>75</v>
      </c>
      <c r="D80" s="52"/>
      <c r="E80" s="52"/>
      <c r="F80" s="52"/>
      <c r="G80" s="52"/>
      <c r="H80" s="52"/>
      <c r="I80" s="52"/>
      <c r="J80" s="52"/>
      <c r="K80" s="52"/>
      <c r="L80" s="52"/>
      <c r="M80" s="52"/>
      <c r="N80" s="52"/>
      <c r="O80" s="52"/>
      <c r="P80" s="52"/>
      <c r="Q80" s="52"/>
      <c r="R80" s="52"/>
      <c r="S80" s="52"/>
      <c r="T80" s="52"/>
      <c r="U80" s="52"/>
      <c r="V80" s="52"/>
      <c r="W80" s="52"/>
      <c r="X80" s="52"/>
      <c r="Y80" s="52"/>
      <c r="Z80" s="53" t="s">
        <v>27</v>
      </c>
      <c r="AA80" s="53"/>
      <c r="AB80" s="53"/>
      <c r="AC80" s="53"/>
      <c r="AD80" s="54">
        <v>55</v>
      </c>
      <c r="AE80" s="54"/>
      <c r="AF80" s="54"/>
      <c r="AG80" s="54"/>
      <c r="AH80" s="33"/>
      <c r="AI80" s="33"/>
      <c r="AJ80" s="33"/>
      <c r="AM80" s="3">
        <f t="shared" si="2"/>
        <v>0</v>
      </c>
    </row>
    <row r="81" spans="2:39" ht="15.6" customHeight="1" x14ac:dyDescent="0.3">
      <c r="B81" s="14"/>
      <c r="C81" s="46" t="s">
        <v>28</v>
      </c>
      <c r="D81" s="46"/>
      <c r="E81" s="46"/>
      <c r="F81" s="46"/>
      <c r="G81" s="46"/>
      <c r="H81" s="46"/>
      <c r="I81" s="46"/>
      <c r="J81" s="46"/>
      <c r="K81" s="46"/>
      <c r="L81" s="46"/>
      <c r="M81" s="46"/>
      <c r="N81" s="46"/>
      <c r="O81" s="46"/>
      <c r="P81" s="33"/>
      <c r="Q81" s="33"/>
      <c r="R81" s="33"/>
      <c r="S81" s="33"/>
      <c r="T81" s="33"/>
      <c r="U81" s="33"/>
      <c r="V81" s="33"/>
      <c r="W81" s="33"/>
      <c r="X81" s="33"/>
      <c r="Y81" s="33"/>
      <c r="Z81" s="47" t="s">
        <v>29</v>
      </c>
      <c r="AA81" s="47"/>
      <c r="AB81" s="47"/>
      <c r="AC81" s="47"/>
      <c r="AD81" s="48">
        <v>60</v>
      </c>
      <c r="AE81" s="48"/>
      <c r="AF81" s="48"/>
      <c r="AG81" s="48"/>
      <c r="AH81" s="33"/>
      <c r="AI81" s="33"/>
      <c r="AJ81" s="33"/>
      <c r="AM81" s="3">
        <f t="shared" si="2"/>
        <v>0</v>
      </c>
    </row>
    <row r="82" spans="2:39" ht="39" customHeight="1" x14ac:dyDescent="0.3">
      <c r="B82" s="14"/>
      <c r="C82" s="52" t="s">
        <v>76</v>
      </c>
      <c r="D82" s="52"/>
      <c r="E82" s="52"/>
      <c r="F82" s="52"/>
      <c r="G82" s="52"/>
      <c r="H82" s="52"/>
      <c r="I82" s="52"/>
      <c r="J82" s="52"/>
      <c r="K82" s="52"/>
      <c r="L82" s="52"/>
      <c r="M82" s="52"/>
      <c r="N82" s="52"/>
      <c r="O82" s="52"/>
      <c r="P82" s="52"/>
      <c r="Q82" s="52"/>
      <c r="R82" s="52"/>
      <c r="S82" s="52"/>
      <c r="T82" s="52"/>
      <c r="U82" s="52"/>
      <c r="V82" s="52"/>
      <c r="W82" s="52"/>
      <c r="X82" s="52"/>
      <c r="Y82" s="52"/>
      <c r="Z82" s="53" t="s">
        <v>31</v>
      </c>
      <c r="AA82" s="53"/>
      <c r="AB82" s="53"/>
      <c r="AC82" s="53"/>
      <c r="AD82" s="54">
        <v>70</v>
      </c>
      <c r="AE82" s="54"/>
      <c r="AF82" s="54"/>
      <c r="AG82" s="54"/>
      <c r="AH82" s="33"/>
      <c r="AI82" s="33"/>
      <c r="AJ82" s="33"/>
      <c r="AM82" s="3">
        <f t="shared" si="2"/>
        <v>0</v>
      </c>
    </row>
    <row r="83" spans="2:39" ht="15.6" customHeight="1" x14ac:dyDescent="0.3">
      <c r="B83" s="14"/>
      <c r="C83" s="46" t="s">
        <v>32</v>
      </c>
      <c r="D83" s="46"/>
      <c r="E83" s="46"/>
      <c r="F83" s="46"/>
      <c r="G83" s="46"/>
      <c r="H83" s="46"/>
      <c r="I83" s="46"/>
      <c r="J83" s="46"/>
      <c r="K83" s="46"/>
      <c r="L83" s="46"/>
      <c r="M83" s="46"/>
      <c r="N83" s="46"/>
      <c r="O83" s="46"/>
      <c r="P83" s="33"/>
      <c r="Q83" s="33"/>
      <c r="R83" s="33"/>
      <c r="S83" s="33"/>
      <c r="T83" s="33"/>
      <c r="U83" s="33"/>
      <c r="V83" s="33"/>
      <c r="W83" s="33"/>
      <c r="X83" s="33"/>
      <c r="Y83" s="33"/>
      <c r="Z83" s="47" t="s">
        <v>33</v>
      </c>
      <c r="AA83" s="47"/>
      <c r="AB83" s="47"/>
      <c r="AC83" s="47"/>
      <c r="AD83" s="48">
        <v>80</v>
      </c>
      <c r="AE83" s="48"/>
      <c r="AF83" s="48"/>
      <c r="AG83" s="48"/>
      <c r="AH83" s="33"/>
      <c r="AI83" s="33"/>
      <c r="AJ83" s="33"/>
      <c r="AM83" s="3">
        <f t="shared" si="2"/>
        <v>0</v>
      </c>
    </row>
    <row r="84" spans="2:39" ht="39.75" customHeight="1" x14ac:dyDescent="0.3">
      <c r="B84" s="14"/>
      <c r="C84" s="52" t="s">
        <v>77</v>
      </c>
      <c r="D84" s="52"/>
      <c r="E84" s="52"/>
      <c r="F84" s="52"/>
      <c r="G84" s="52"/>
      <c r="H84" s="52"/>
      <c r="I84" s="52"/>
      <c r="J84" s="52"/>
      <c r="K84" s="52"/>
      <c r="L84" s="52"/>
      <c r="M84" s="52"/>
      <c r="N84" s="52"/>
      <c r="O84" s="52"/>
      <c r="P84" s="52"/>
      <c r="Q84" s="52"/>
      <c r="R84" s="52"/>
      <c r="S84" s="52"/>
      <c r="T84" s="52"/>
      <c r="U84" s="52"/>
      <c r="V84" s="52"/>
      <c r="W84" s="52"/>
      <c r="X84" s="52"/>
      <c r="Y84" s="52"/>
      <c r="Z84" s="53" t="s">
        <v>35</v>
      </c>
      <c r="AA84" s="53"/>
      <c r="AB84" s="53"/>
      <c r="AC84" s="53"/>
      <c r="AD84" s="54">
        <v>90</v>
      </c>
      <c r="AE84" s="54"/>
      <c r="AF84" s="54"/>
      <c r="AG84" s="54"/>
      <c r="AH84" s="33"/>
      <c r="AI84" s="33"/>
      <c r="AJ84" s="33"/>
      <c r="AM84" s="3">
        <f t="shared" si="2"/>
        <v>0</v>
      </c>
    </row>
    <row r="85" spans="2:39" ht="15.6" customHeight="1" x14ac:dyDescent="0.3">
      <c r="B85" s="14"/>
      <c r="C85" s="46" t="s">
        <v>36</v>
      </c>
      <c r="D85" s="46"/>
      <c r="E85" s="46"/>
      <c r="F85" s="46"/>
      <c r="G85" s="46"/>
      <c r="H85" s="46"/>
      <c r="I85" s="46"/>
      <c r="J85" s="46"/>
      <c r="K85" s="46"/>
      <c r="L85" s="46"/>
      <c r="M85" s="46"/>
      <c r="N85" s="46"/>
      <c r="O85" s="46"/>
      <c r="P85" s="33"/>
      <c r="Q85" s="33"/>
      <c r="R85" s="33"/>
      <c r="S85" s="33"/>
      <c r="T85" s="33"/>
      <c r="U85" s="33"/>
      <c r="V85" s="33"/>
      <c r="W85" s="33"/>
      <c r="X85" s="33"/>
      <c r="Y85" s="33"/>
      <c r="Z85" s="47" t="s">
        <v>37</v>
      </c>
      <c r="AA85" s="47"/>
      <c r="AB85" s="47"/>
      <c r="AC85" s="47"/>
      <c r="AD85" s="48">
        <v>105</v>
      </c>
      <c r="AE85" s="48"/>
      <c r="AF85" s="48"/>
      <c r="AG85" s="48"/>
      <c r="AH85" s="33"/>
      <c r="AI85" s="33"/>
      <c r="AJ85" s="33"/>
      <c r="AM85" s="3">
        <f t="shared" si="2"/>
        <v>0</v>
      </c>
    </row>
    <row r="86" spans="2:39" ht="36.75" customHeight="1" x14ac:dyDescent="0.3">
      <c r="B86" s="14"/>
      <c r="C86" s="52" t="s">
        <v>78</v>
      </c>
      <c r="D86" s="52"/>
      <c r="E86" s="52"/>
      <c r="F86" s="52"/>
      <c r="G86" s="52"/>
      <c r="H86" s="52"/>
      <c r="I86" s="52"/>
      <c r="J86" s="52"/>
      <c r="K86" s="52"/>
      <c r="L86" s="52"/>
      <c r="M86" s="52"/>
      <c r="N86" s="52"/>
      <c r="O86" s="52"/>
      <c r="P86" s="52"/>
      <c r="Q86" s="52"/>
      <c r="R86" s="52"/>
      <c r="S86" s="52"/>
      <c r="T86" s="52"/>
      <c r="U86" s="52"/>
      <c r="V86" s="52"/>
      <c r="W86" s="52"/>
      <c r="X86" s="52"/>
      <c r="Y86" s="52"/>
      <c r="Z86" s="53" t="s">
        <v>39</v>
      </c>
      <c r="AA86" s="53"/>
      <c r="AB86" s="53"/>
      <c r="AC86" s="53"/>
      <c r="AD86" s="54">
        <v>120</v>
      </c>
      <c r="AE86" s="54"/>
      <c r="AF86" s="54"/>
      <c r="AG86" s="54"/>
      <c r="AH86" s="33"/>
      <c r="AI86" s="33"/>
      <c r="AJ86" s="33"/>
      <c r="AM86" s="3">
        <f t="shared" si="2"/>
        <v>0</v>
      </c>
    </row>
    <row r="87" spans="2:39" ht="15.6" customHeight="1" x14ac:dyDescent="0.3">
      <c r="B87" s="14"/>
      <c r="C87" s="46" t="s">
        <v>40</v>
      </c>
      <c r="D87" s="46"/>
      <c r="E87" s="46"/>
      <c r="F87" s="46"/>
      <c r="G87" s="46"/>
      <c r="H87" s="46"/>
      <c r="I87" s="46"/>
      <c r="J87" s="46"/>
      <c r="K87" s="46"/>
      <c r="L87" s="46"/>
      <c r="M87" s="46"/>
      <c r="N87" s="46"/>
      <c r="O87" s="46"/>
      <c r="P87" s="33"/>
      <c r="Q87" s="33"/>
      <c r="R87" s="33"/>
      <c r="S87" s="33"/>
      <c r="T87" s="33"/>
      <c r="U87" s="33"/>
      <c r="V87" s="33"/>
      <c r="W87" s="33"/>
      <c r="X87" s="33"/>
      <c r="Y87" s="33"/>
      <c r="Z87" s="47" t="s">
        <v>41</v>
      </c>
      <c r="AA87" s="47"/>
      <c r="AB87" s="47"/>
      <c r="AC87" s="47"/>
      <c r="AD87" s="48">
        <v>135</v>
      </c>
      <c r="AE87" s="48"/>
      <c r="AF87" s="48"/>
      <c r="AG87" s="48"/>
      <c r="AH87" s="33"/>
      <c r="AI87" s="33"/>
      <c r="AJ87" s="33"/>
      <c r="AM87" s="3">
        <f t="shared" si="2"/>
        <v>0</v>
      </c>
    </row>
    <row r="88" spans="2:39" ht="37.5" customHeight="1" x14ac:dyDescent="0.3">
      <c r="B88" s="14"/>
      <c r="C88" s="52" t="s">
        <v>79</v>
      </c>
      <c r="D88" s="52"/>
      <c r="E88" s="52"/>
      <c r="F88" s="52"/>
      <c r="G88" s="52"/>
      <c r="H88" s="52"/>
      <c r="I88" s="52"/>
      <c r="J88" s="52"/>
      <c r="K88" s="52"/>
      <c r="L88" s="52"/>
      <c r="M88" s="52"/>
      <c r="N88" s="52"/>
      <c r="O88" s="52"/>
      <c r="P88" s="52"/>
      <c r="Q88" s="52"/>
      <c r="R88" s="52"/>
      <c r="S88" s="52"/>
      <c r="T88" s="52"/>
      <c r="U88" s="52"/>
      <c r="V88" s="52"/>
      <c r="W88" s="52"/>
      <c r="X88" s="52"/>
      <c r="Y88" s="52"/>
      <c r="Z88" s="53" t="s">
        <v>43</v>
      </c>
      <c r="AA88" s="53"/>
      <c r="AB88" s="53"/>
      <c r="AC88" s="53"/>
      <c r="AD88" s="54">
        <v>150</v>
      </c>
      <c r="AE88" s="54"/>
      <c r="AF88" s="54"/>
      <c r="AG88" s="54"/>
      <c r="AH88" s="33"/>
      <c r="AI88" s="33"/>
      <c r="AJ88" s="33"/>
      <c r="AM88" s="3">
        <f t="shared" si="2"/>
        <v>0</v>
      </c>
    </row>
    <row r="89" spans="2:39" x14ac:dyDescent="0.3">
      <c r="B89" s="33"/>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M89" s="15">
        <f>SUM(AM75:AM88)</f>
        <v>0</v>
      </c>
    </row>
    <row r="90" spans="2:39" hidden="1" x14ac:dyDescent="0.3">
      <c r="B90" s="33"/>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row>
    <row r="91" spans="2:39" x14ac:dyDescent="0.3">
      <c r="B91" s="33"/>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row>
    <row r="92" spans="2:39" ht="15.6" x14ac:dyDescent="0.3">
      <c r="B92" s="30"/>
      <c r="C92" s="43" t="s">
        <v>80</v>
      </c>
      <c r="D92" s="43"/>
      <c r="E92" s="43"/>
      <c r="F92" s="43"/>
      <c r="G92" s="43"/>
      <c r="H92" s="43"/>
      <c r="I92" s="43"/>
      <c r="J92" s="43"/>
      <c r="K92" s="43"/>
      <c r="L92" s="43"/>
      <c r="M92" s="43"/>
      <c r="N92" s="43"/>
      <c r="O92" s="43"/>
      <c r="P92" s="43"/>
      <c r="Q92" s="43"/>
      <c r="R92" s="18"/>
      <c r="S92" s="18"/>
      <c r="T92" s="18"/>
      <c r="U92" s="18"/>
      <c r="V92" s="18"/>
      <c r="W92" s="18"/>
      <c r="X92" s="18"/>
      <c r="Y92" s="18"/>
      <c r="Z92" s="18"/>
      <c r="AA92" s="18"/>
      <c r="AB92" s="18"/>
      <c r="AC92" s="18"/>
      <c r="AD92" s="18"/>
      <c r="AE92" s="18"/>
      <c r="AF92" s="18"/>
      <c r="AG92" s="18"/>
      <c r="AH92" s="33"/>
      <c r="AI92" s="33"/>
      <c r="AJ92" s="33"/>
    </row>
    <row r="93" spans="2:39" hidden="1" x14ac:dyDescent="0.3">
      <c r="B93" s="31"/>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row>
    <row r="94" spans="2:39" ht="13.8" x14ac:dyDescent="0.3">
      <c r="B94" s="31"/>
      <c r="C94" s="51" t="s">
        <v>81</v>
      </c>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33"/>
      <c r="AI94" s="33"/>
      <c r="AJ94" s="33"/>
    </row>
    <row r="95" spans="2:39" ht="15" x14ac:dyDescent="0.3">
      <c r="B95" s="31"/>
      <c r="C95" s="19" t="s">
        <v>70</v>
      </c>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c r="AG95" s="20"/>
      <c r="AH95" s="33"/>
      <c r="AI95" s="33"/>
      <c r="AJ95" s="33"/>
    </row>
    <row r="96" spans="2:39" ht="15.6" x14ac:dyDescent="0.3">
      <c r="B96" s="34"/>
      <c r="C96" s="35" t="s">
        <v>82</v>
      </c>
      <c r="D96" s="35"/>
      <c r="E96" s="35"/>
      <c r="F96" s="35"/>
      <c r="G96" s="35"/>
      <c r="H96" s="35"/>
      <c r="I96" s="35"/>
      <c r="J96" s="35"/>
      <c r="K96" s="35"/>
      <c r="L96" s="35"/>
      <c r="M96" s="35"/>
      <c r="N96" s="35"/>
      <c r="O96" s="35"/>
      <c r="P96" s="17"/>
      <c r="Q96" s="17"/>
      <c r="R96" s="17"/>
      <c r="S96" s="17"/>
      <c r="T96" s="17"/>
      <c r="U96" s="17"/>
      <c r="V96" s="17"/>
      <c r="W96" s="17"/>
      <c r="X96" s="17"/>
      <c r="Y96" s="17"/>
      <c r="Z96" s="60" t="s">
        <v>14</v>
      </c>
      <c r="AA96" s="60"/>
      <c r="AB96" s="60"/>
      <c r="AC96" s="60"/>
      <c r="AD96" s="45" t="s">
        <v>15</v>
      </c>
      <c r="AE96" s="45"/>
      <c r="AF96" s="45"/>
      <c r="AG96" s="45"/>
      <c r="AH96" s="33"/>
      <c r="AI96" s="33"/>
      <c r="AJ96" s="33"/>
    </row>
    <row r="97" spans="2:39" ht="15.6" customHeight="1" x14ac:dyDescent="0.3">
      <c r="B97" s="14"/>
      <c r="C97" s="46" t="s">
        <v>16</v>
      </c>
      <c r="D97" s="46"/>
      <c r="E97" s="46"/>
      <c r="F97" s="46"/>
      <c r="G97" s="46"/>
      <c r="H97" s="46"/>
      <c r="I97" s="46"/>
      <c r="J97" s="46"/>
      <c r="K97" s="46"/>
      <c r="L97" s="46"/>
      <c r="M97" s="46"/>
      <c r="N97" s="46"/>
      <c r="O97" s="46"/>
      <c r="P97" s="33"/>
      <c r="Q97" s="33"/>
      <c r="R97" s="33"/>
      <c r="S97" s="33"/>
      <c r="T97" s="33"/>
      <c r="U97" s="33"/>
      <c r="V97" s="33"/>
      <c r="W97" s="33"/>
      <c r="X97" s="33"/>
      <c r="Y97" s="33"/>
      <c r="Z97" s="47" t="s">
        <v>17</v>
      </c>
      <c r="AA97" s="47"/>
      <c r="AB97" s="47"/>
      <c r="AC97" s="47"/>
      <c r="AD97" s="48">
        <v>0</v>
      </c>
      <c r="AE97" s="48"/>
      <c r="AF97" s="48"/>
      <c r="AG97" s="48"/>
      <c r="AH97" s="33"/>
      <c r="AI97" s="33"/>
      <c r="AJ97" s="33"/>
      <c r="AM97" s="3">
        <f t="shared" ref="AM97:AM104" si="3">IF($B97="X",$AD97,0)</f>
        <v>0</v>
      </c>
    </row>
    <row r="98" spans="2:39" ht="36.9" customHeight="1" x14ac:dyDescent="0.3">
      <c r="B98" s="14"/>
      <c r="C98" s="52" t="s">
        <v>83</v>
      </c>
      <c r="D98" s="52"/>
      <c r="E98" s="52"/>
      <c r="F98" s="52"/>
      <c r="G98" s="52"/>
      <c r="H98" s="52"/>
      <c r="I98" s="52"/>
      <c r="J98" s="52"/>
      <c r="K98" s="52"/>
      <c r="L98" s="52"/>
      <c r="M98" s="52"/>
      <c r="N98" s="52"/>
      <c r="O98" s="52"/>
      <c r="P98" s="52"/>
      <c r="Q98" s="52"/>
      <c r="R98" s="52"/>
      <c r="S98" s="52"/>
      <c r="T98" s="52"/>
      <c r="U98" s="52"/>
      <c r="V98" s="52"/>
      <c r="W98" s="52"/>
      <c r="X98" s="52"/>
      <c r="Y98" s="52"/>
      <c r="Z98" s="53" t="s">
        <v>19</v>
      </c>
      <c r="AA98" s="53"/>
      <c r="AB98" s="53"/>
      <c r="AC98" s="53"/>
      <c r="AD98" s="54">
        <v>20</v>
      </c>
      <c r="AE98" s="54"/>
      <c r="AF98" s="54"/>
      <c r="AG98" s="54"/>
      <c r="AH98" s="33"/>
      <c r="AI98" s="33"/>
      <c r="AJ98" s="33"/>
      <c r="AM98" s="3">
        <f t="shared" si="3"/>
        <v>0</v>
      </c>
    </row>
    <row r="99" spans="2:39" ht="36.9" customHeight="1" x14ac:dyDescent="0.3">
      <c r="B99" s="14"/>
      <c r="C99" s="46" t="s">
        <v>84</v>
      </c>
      <c r="D99" s="46"/>
      <c r="E99" s="46"/>
      <c r="F99" s="46"/>
      <c r="G99" s="46"/>
      <c r="H99" s="46"/>
      <c r="I99" s="46"/>
      <c r="J99" s="46"/>
      <c r="K99" s="46"/>
      <c r="L99" s="46"/>
      <c r="M99" s="46"/>
      <c r="N99" s="46"/>
      <c r="O99" s="46"/>
      <c r="P99" s="46"/>
      <c r="Q99" s="46"/>
      <c r="R99" s="46"/>
      <c r="S99" s="46"/>
      <c r="T99" s="46"/>
      <c r="U99" s="46"/>
      <c r="V99" s="46"/>
      <c r="W99" s="46"/>
      <c r="X99" s="46"/>
      <c r="Y99" s="46"/>
      <c r="Z99" s="47" t="s">
        <v>23</v>
      </c>
      <c r="AA99" s="47"/>
      <c r="AB99" s="47"/>
      <c r="AC99" s="47"/>
      <c r="AD99" s="48">
        <v>30</v>
      </c>
      <c r="AE99" s="48"/>
      <c r="AF99" s="48"/>
      <c r="AG99" s="48"/>
      <c r="AH99" s="33"/>
      <c r="AI99" s="33"/>
      <c r="AJ99" s="33"/>
      <c r="AM99" s="3">
        <f t="shared" si="3"/>
        <v>0</v>
      </c>
    </row>
    <row r="100" spans="2:39" ht="36.9" customHeight="1" x14ac:dyDescent="0.3">
      <c r="B100" s="14"/>
      <c r="C100" s="52" t="s">
        <v>85</v>
      </c>
      <c r="D100" s="52"/>
      <c r="E100" s="52"/>
      <c r="F100" s="52"/>
      <c r="G100" s="52"/>
      <c r="H100" s="52"/>
      <c r="I100" s="52"/>
      <c r="J100" s="52"/>
      <c r="K100" s="52"/>
      <c r="L100" s="52"/>
      <c r="M100" s="52"/>
      <c r="N100" s="52"/>
      <c r="O100" s="52"/>
      <c r="P100" s="52"/>
      <c r="Q100" s="52"/>
      <c r="R100" s="52"/>
      <c r="S100" s="52"/>
      <c r="T100" s="52"/>
      <c r="U100" s="52"/>
      <c r="V100" s="52"/>
      <c r="W100" s="52"/>
      <c r="X100" s="52"/>
      <c r="Y100" s="52"/>
      <c r="Z100" s="53" t="s">
        <v>27</v>
      </c>
      <c r="AA100" s="53"/>
      <c r="AB100" s="53"/>
      <c r="AC100" s="53"/>
      <c r="AD100" s="54">
        <v>40</v>
      </c>
      <c r="AE100" s="54"/>
      <c r="AF100" s="54"/>
      <c r="AG100" s="54"/>
      <c r="AH100" s="33"/>
      <c r="AI100" s="33"/>
      <c r="AJ100" s="33"/>
      <c r="AM100" s="3">
        <f t="shared" si="3"/>
        <v>0</v>
      </c>
    </row>
    <row r="101" spans="2:39" ht="36.9" customHeight="1" x14ac:dyDescent="0.3">
      <c r="B101" s="14"/>
      <c r="C101" s="46" t="s">
        <v>86</v>
      </c>
      <c r="D101" s="46"/>
      <c r="E101" s="46"/>
      <c r="F101" s="46"/>
      <c r="G101" s="46"/>
      <c r="H101" s="46"/>
      <c r="I101" s="46"/>
      <c r="J101" s="46"/>
      <c r="K101" s="46"/>
      <c r="L101" s="46"/>
      <c r="M101" s="46"/>
      <c r="N101" s="46"/>
      <c r="O101" s="46"/>
      <c r="P101" s="46"/>
      <c r="Q101" s="46"/>
      <c r="R101" s="46"/>
      <c r="S101" s="46"/>
      <c r="T101" s="46"/>
      <c r="U101" s="46"/>
      <c r="V101" s="46"/>
      <c r="W101" s="46"/>
      <c r="X101" s="46"/>
      <c r="Y101" s="46"/>
      <c r="Z101" s="47" t="s">
        <v>31</v>
      </c>
      <c r="AA101" s="47"/>
      <c r="AB101" s="47"/>
      <c r="AC101" s="47"/>
      <c r="AD101" s="48">
        <v>50</v>
      </c>
      <c r="AE101" s="48"/>
      <c r="AF101" s="48"/>
      <c r="AG101" s="48"/>
      <c r="AH101" s="33"/>
      <c r="AI101" s="33"/>
      <c r="AJ101" s="33"/>
      <c r="AM101" s="3">
        <f t="shared" si="3"/>
        <v>0</v>
      </c>
    </row>
    <row r="102" spans="2:39" ht="36.9" customHeight="1" x14ac:dyDescent="0.3">
      <c r="B102" s="14"/>
      <c r="C102" s="52" t="s">
        <v>87</v>
      </c>
      <c r="D102" s="52"/>
      <c r="E102" s="52"/>
      <c r="F102" s="52"/>
      <c r="G102" s="52"/>
      <c r="H102" s="52"/>
      <c r="I102" s="52"/>
      <c r="J102" s="52"/>
      <c r="K102" s="52"/>
      <c r="L102" s="52"/>
      <c r="M102" s="52"/>
      <c r="N102" s="52"/>
      <c r="O102" s="52"/>
      <c r="P102" s="52"/>
      <c r="Q102" s="52"/>
      <c r="R102" s="52"/>
      <c r="S102" s="52"/>
      <c r="T102" s="52"/>
      <c r="U102" s="52"/>
      <c r="V102" s="52"/>
      <c r="W102" s="52"/>
      <c r="X102" s="52"/>
      <c r="Y102" s="52"/>
      <c r="Z102" s="53" t="s">
        <v>35</v>
      </c>
      <c r="AA102" s="53"/>
      <c r="AB102" s="53"/>
      <c r="AC102" s="53"/>
      <c r="AD102" s="54">
        <v>60</v>
      </c>
      <c r="AE102" s="54"/>
      <c r="AF102" s="54"/>
      <c r="AG102" s="54"/>
      <c r="AH102" s="33"/>
      <c r="AI102" s="33"/>
      <c r="AJ102" s="33"/>
      <c r="AM102" s="3">
        <f t="shared" si="3"/>
        <v>0</v>
      </c>
    </row>
    <row r="103" spans="2:39" ht="36.9" customHeight="1" x14ac:dyDescent="0.3">
      <c r="B103" s="14"/>
      <c r="C103" s="46" t="s">
        <v>88</v>
      </c>
      <c r="D103" s="46"/>
      <c r="E103" s="46"/>
      <c r="F103" s="46"/>
      <c r="G103" s="46"/>
      <c r="H103" s="46"/>
      <c r="I103" s="46"/>
      <c r="J103" s="46"/>
      <c r="K103" s="46"/>
      <c r="L103" s="46"/>
      <c r="M103" s="46"/>
      <c r="N103" s="46"/>
      <c r="O103" s="46"/>
      <c r="P103" s="46"/>
      <c r="Q103" s="46"/>
      <c r="R103" s="46"/>
      <c r="S103" s="46"/>
      <c r="T103" s="46"/>
      <c r="U103" s="46"/>
      <c r="V103" s="46"/>
      <c r="W103" s="46"/>
      <c r="X103" s="46"/>
      <c r="Y103" s="46"/>
      <c r="Z103" s="47" t="s">
        <v>39</v>
      </c>
      <c r="AA103" s="47"/>
      <c r="AB103" s="47"/>
      <c r="AC103" s="47"/>
      <c r="AD103" s="48">
        <v>80</v>
      </c>
      <c r="AE103" s="48"/>
      <c r="AF103" s="48"/>
      <c r="AG103" s="48"/>
      <c r="AH103" s="33"/>
      <c r="AI103" s="33"/>
      <c r="AJ103" s="33"/>
      <c r="AM103" s="3">
        <f t="shared" si="3"/>
        <v>0</v>
      </c>
    </row>
    <row r="104" spans="2:39" ht="30" customHeight="1" x14ac:dyDescent="0.3">
      <c r="B104" s="14"/>
      <c r="C104" s="52" t="s">
        <v>89</v>
      </c>
      <c r="D104" s="52"/>
      <c r="E104" s="52"/>
      <c r="F104" s="52"/>
      <c r="G104" s="52"/>
      <c r="H104" s="52"/>
      <c r="I104" s="52"/>
      <c r="J104" s="52"/>
      <c r="K104" s="52"/>
      <c r="L104" s="52"/>
      <c r="M104" s="52"/>
      <c r="N104" s="52"/>
      <c r="O104" s="52"/>
      <c r="P104" s="52"/>
      <c r="Q104" s="52"/>
      <c r="R104" s="52"/>
      <c r="S104" s="52"/>
      <c r="T104" s="52"/>
      <c r="U104" s="52"/>
      <c r="V104" s="52"/>
      <c r="W104" s="52"/>
      <c r="X104" s="52"/>
      <c r="Y104" s="52"/>
      <c r="Z104" s="53" t="s">
        <v>43</v>
      </c>
      <c r="AA104" s="53"/>
      <c r="AB104" s="53"/>
      <c r="AC104" s="53"/>
      <c r="AD104" s="54">
        <v>105</v>
      </c>
      <c r="AE104" s="54"/>
      <c r="AF104" s="54"/>
      <c r="AG104" s="54"/>
      <c r="AH104" s="33"/>
      <c r="AI104" s="33"/>
      <c r="AJ104" s="33"/>
      <c r="AM104" s="3">
        <f t="shared" si="3"/>
        <v>0</v>
      </c>
    </row>
    <row r="105" spans="2:39" x14ac:dyDescent="0.3">
      <c r="B105" s="31"/>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c r="AC105" s="33"/>
      <c r="AD105" s="33"/>
      <c r="AE105" s="33"/>
      <c r="AF105" s="33"/>
      <c r="AG105" s="33"/>
      <c r="AH105" s="33"/>
      <c r="AI105" s="33"/>
      <c r="AJ105" s="33"/>
      <c r="AM105" s="15">
        <f>SUM(AM97:AM104)</f>
        <v>0</v>
      </c>
    </row>
    <row r="106" spans="2:39" hidden="1" x14ac:dyDescent="0.3">
      <c r="B106" s="31"/>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c r="AC106" s="33"/>
      <c r="AD106" s="33"/>
      <c r="AE106" s="33"/>
      <c r="AF106" s="33"/>
      <c r="AG106" s="33"/>
      <c r="AH106" s="33"/>
      <c r="AI106" s="33"/>
      <c r="AJ106" s="33"/>
    </row>
    <row r="107" spans="2:39" x14ac:dyDescent="0.3">
      <c r="B107" s="31"/>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c r="AC107" s="33"/>
      <c r="AD107" s="33"/>
      <c r="AE107" s="33"/>
      <c r="AF107" s="33"/>
      <c r="AG107" s="33"/>
      <c r="AH107" s="33"/>
      <c r="AI107" s="33"/>
      <c r="AJ107" s="33"/>
    </row>
    <row r="108" spans="2:39" ht="15.6" x14ac:dyDescent="0.3">
      <c r="B108" s="30"/>
      <c r="C108" s="43" t="s">
        <v>90</v>
      </c>
      <c r="D108" s="43"/>
      <c r="E108" s="43"/>
      <c r="F108" s="43"/>
      <c r="G108" s="43"/>
      <c r="H108" s="43"/>
      <c r="I108" s="43"/>
      <c r="J108" s="43"/>
      <c r="K108" s="43"/>
      <c r="L108" s="43"/>
      <c r="M108" s="43"/>
      <c r="N108" s="43"/>
      <c r="O108" s="43"/>
      <c r="P108" s="43"/>
      <c r="Q108" s="43"/>
      <c r="R108" s="18"/>
      <c r="S108" s="18"/>
      <c r="T108" s="18"/>
      <c r="U108" s="18"/>
      <c r="V108" s="18"/>
      <c r="W108" s="18"/>
      <c r="X108" s="18"/>
      <c r="Y108" s="18"/>
      <c r="Z108" s="18"/>
      <c r="AA108" s="18"/>
      <c r="AB108" s="18"/>
      <c r="AC108" s="18"/>
      <c r="AD108" s="18"/>
      <c r="AE108" s="18"/>
      <c r="AF108" s="18"/>
      <c r="AG108" s="18"/>
      <c r="AH108" s="33"/>
      <c r="AI108" s="33"/>
      <c r="AJ108" s="33"/>
    </row>
    <row r="109" spans="2:39" hidden="1" x14ac:dyDescent="0.3">
      <c r="B109" s="31"/>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c r="AC109" s="33"/>
      <c r="AD109" s="33"/>
      <c r="AE109" s="33"/>
      <c r="AF109" s="33"/>
      <c r="AG109" s="33"/>
      <c r="AH109" s="33"/>
      <c r="AI109" s="33"/>
      <c r="AJ109" s="33"/>
    </row>
    <row r="110" spans="2:39" ht="13.8" x14ac:dyDescent="0.3">
      <c r="B110" s="31"/>
      <c r="C110" s="51" t="s">
        <v>91</v>
      </c>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33"/>
      <c r="AI110" s="33"/>
      <c r="AJ110" s="33"/>
    </row>
    <row r="111" spans="2:39" hidden="1" x14ac:dyDescent="0.3">
      <c r="B111" s="31"/>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c r="AA111" s="33"/>
      <c r="AB111" s="33"/>
      <c r="AC111" s="33"/>
      <c r="AD111" s="33"/>
      <c r="AE111" s="33"/>
      <c r="AF111" s="33"/>
      <c r="AG111" s="33"/>
      <c r="AH111" s="33"/>
      <c r="AI111" s="33"/>
      <c r="AJ111" s="33"/>
    </row>
    <row r="112" spans="2:39" ht="15.6" x14ac:dyDescent="0.3">
      <c r="B112" s="34"/>
      <c r="C112" s="43" t="s">
        <v>92</v>
      </c>
      <c r="D112" s="43"/>
      <c r="E112" s="43"/>
      <c r="F112" s="43"/>
      <c r="G112" s="43"/>
      <c r="H112" s="43"/>
      <c r="I112" s="43"/>
      <c r="J112" s="43"/>
      <c r="K112" s="43"/>
      <c r="L112" s="43"/>
      <c r="M112" s="43"/>
      <c r="N112" s="43"/>
      <c r="O112" s="43"/>
      <c r="P112" s="17"/>
      <c r="Q112" s="17"/>
      <c r="R112" s="17"/>
      <c r="S112" s="17"/>
      <c r="T112" s="17"/>
      <c r="U112" s="17"/>
      <c r="V112" s="17"/>
      <c r="W112" s="17"/>
      <c r="X112" s="17"/>
      <c r="Y112" s="17"/>
      <c r="Z112" s="60" t="s">
        <v>14</v>
      </c>
      <c r="AA112" s="60"/>
      <c r="AB112" s="60"/>
      <c r="AC112" s="60"/>
      <c r="AD112" s="45" t="s">
        <v>15</v>
      </c>
      <c r="AE112" s="45"/>
      <c r="AF112" s="45"/>
      <c r="AG112" s="45"/>
      <c r="AH112" s="33"/>
      <c r="AI112" s="33"/>
      <c r="AJ112" s="33"/>
    </row>
    <row r="113" spans="2:39" ht="17.25" customHeight="1" x14ac:dyDescent="0.3">
      <c r="B113" s="14"/>
      <c r="C113" s="61" t="s">
        <v>93</v>
      </c>
      <c r="D113" s="62"/>
      <c r="E113" s="62"/>
      <c r="F113" s="62"/>
      <c r="G113" s="62"/>
      <c r="H113" s="62"/>
      <c r="I113" s="62"/>
      <c r="J113" s="62"/>
      <c r="K113" s="62"/>
      <c r="L113" s="62"/>
      <c r="M113" s="62"/>
      <c r="N113" s="62"/>
      <c r="O113" s="62"/>
      <c r="P113" s="62"/>
      <c r="Q113" s="62"/>
      <c r="R113" s="62"/>
      <c r="S113" s="62"/>
      <c r="T113" s="62"/>
      <c r="U113" s="62"/>
      <c r="V113" s="62"/>
      <c r="W113" s="62"/>
      <c r="X113" s="62"/>
      <c r="Y113" s="62"/>
      <c r="Z113" s="47" t="s">
        <v>17</v>
      </c>
      <c r="AA113" s="47"/>
      <c r="AB113" s="47"/>
      <c r="AC113" s="47"/>
      <c r="AD113" s="48">
        <v>0</v>
      </c>
      <c r="AE113" s="48"/>
      <c r="AF113" s="48"/>
      <c r="AG113" s="48"/>
      <c r="AH113" s="33"/>
      <c r="AI113" s="33"/>
      <c r="AJ113" s="33"/>
      <c r="AM113" s="3">
        <f t="shared" ref="AM113:AM120" si="4">IF($B113="X",$AD113,0)</f>
        <v>0</v>
      </c>
    </row>
    <row r="114" spans="2:39" ht="15.6" customHeight="1" x14ac:dyDescent="0.3">
      <c r="B114" s="14"/>
      <c r="C114" s="52" t="s">
        <v>94</v>
      </c>
      <c r="D114" s="52"/>
      <c r="E114" s="52"/>
      <c r="F114" s="52"/>
      <c r="G114" s="52"/>
      <c r="H114" s="52"/>
      <c r="I114" s="52"/>
      <c r="J114" s="52"/>
      <c r="K114" s="52"/>
      <c r="L114" s="52"/>
      <c r="M114" s="52"/>
      <c r="N114" s="52"/>
      <c r="O114" s="52"/>
      <c r="P114" s="52"/>
      <c r="Q114" s="52"/>
      <c r="R114" s="52"/>
      <c r="S114" s="52"/>
      <c r="T114" s="52"/>
      <c r="U114" s="52"/>
      <c r="V114" s="52"/>
      <c r="W114" s="52"/>
      <c r="X114" s="52"/>
      <c r="Y114" s="52"/>
      <c r="Z114" s="53" t="s">
        <v>19</v>
      </c>
      <c r="AA114" s="53"/>
      <c r="AB114" s="53"/>
      <c r="AC114" s="53"/>
      <c r="AD114" s="54">
        <v>5</v>
      </c>
      <c r="AE114" s="54"/>
      <c r="AF114" s="54"/>
      <c r="AG114" s="54"/>
      <c r="AH114" s="33"/>
      <c r="AI114" s="33"/>
      <c r="AJ114" s="33"/>
      <c r="AM114" s="3">
        <f t="shared" si="4"/>
        <v>0</v>
      </c>
    </row>
    <row r="115" spans="2:39" ht="27" customHeight="1" x14ac:dyDescent="0.3">
      <c r="B115" s="14"/>
      <c r="C115" s="46" t="s">
        <v>95</v>
      </c>
      <c r="D115" s="46"/>
      <c r="E115" s="46"/>
      <c r="F115" s="46"/>
      <c r="G115" s="46"/>
      <c r="H115" s="46"/>
      <c r="I115" s="46"/>
      <c r="J115" s="46"/>
      <c r="K115" s="46"/>
      <c r="L115" s="46"/>
      <c r="M115" s="46"/>
      <c r="N115" s="46"/>
      <c r="O115" s="46"/>
      <c r="P115" s="46"/>
      <c r="Q115" s="46"/>
      <c r="R115" s="46"/>
      <c r="S115" s="46"/>
      <c r="T115" s="46"/>
      <c r="U115" s="46"/>
      <c r="V115" s="46"/>
      <c r="W115" s="46"/>
      <c r="X115" s="46"/>
      <c r="Y115" s="46"/>
      <c r="Z115" s="47" t="s">
        <v>23</v>
      </c>
      <c r="AA115" s="47"/>
      <c r="AB115" s="47"/>
      <c r="AC115" s="47"/>
      <c r="AD115" s="48">
        <v>10</v>
      </c>
      <c r="AE115" s="48"/>
      <c r="AF115" s="48"/>
      <c r="AG115" s="48"/>
      <c r="AH115" s="33"/>
      <c r="AI115" s="33"/>
      <c r="AJ115" s="33"/>
      <c r="AM115" s="3">
        <f t="shared" si="4"/>
        <v>0</v>
      </c>
    </row>
    <row r="116" spans="2:39" ht="27" customHeight="1" x14ac:dyDescent="0.3">
      <c r="B116" s="14"/>
      <c r="C116" s="52" t="s">
        <v>96</v>
      </c>
      <c r="D116" s="52"/>
      <c r="E116" s="52"/>
      <c r="F116" s="52"/>
      <c r="G116" s="52"/>
      <c r="H116" s="52"/>
      <c r="I116" s="52"/>
      <c r="J116" s="52"/>
      <c r="K116" s="52"/>
      <c r="L116" s="52"/>
      <c r="M116" s="52"/>
      <c r="N116" s="52"/>
      <c r="O116" s="52"/>
      <c r="P116" s="52"/>
      <c r="Q116" s="52"/>
      <c r="R116" s="52"/>
      <c r="S116" s="52"/>
      <c r="T116" s="52"/>
      <c r="U116" s="52"/>
      <c r="V116" s="52"/>
      <c r="W116" s="52"/>
      <c r="X116" s="52"/>
      <c r="Y116" s="52"/>
      <c r="Z116" s="53" t="s">
        <v>27</v>
      </c>
      <c r="AA116" s="53"/>
      <c r="AB116" s="53"/>
      <c r="AC116" s="53"/>
      <c r="AD116" s="54">
        <v>15</v>
      </c>
      <c r="AE116" s="54"/>
      <c r="AF116" s="54"/>
      <c r="AG116" s="54"/>
      <c r="AH116" s="33"/>
      <c r="AI116" s="33"/>
      <c r="AJ116" s="33"/>
      <c r="AM116" s="3">
        <f t="shared" si="4"/>
        <v>0</v>
      </c>
    </row>
    <row r="117" spans="2:39" ht="27" customHeight="1" x14ac:dyDescent="0.3">
      <c r="B117" s="14"/>
      <c r="C117" s="46" t="s">
        <v>97</v>
      </c>
      <c r="D117" s="46"/>
      <c r="E117" s="46"/>
      <c r="F117" s="46"/>
      <c r="G117" s="46"/>
      <c r="H117" s="46"/>
      <c r="I117" s="46"/>
      <c r="J117" s="46"/>
      <c r="K117" s="46"/>
      <c r="L117" s="46"/>
      <c r="M117" s="46"/>
      <c r="N117" s="46"/>
      <c r="O117" s="46"/>
      <c r="P117" s="46"/>
      <c r="Q117" s="46"/>
      <c r="R117" s="46"/>
      <c r="S117" s="46"/>
      <c r="T117" s="46"/>
      <c r="U117" s="46"/>
      <c r="V117" s="46"/>
      <c r="W117" s="46"/>
      <c r="X117" s="46"/>
      <c r="Y117" s="46"/>
      <c r="Z117" s="47" t="s">
        <v>31</v>
      </c>
      <c r="AA117" s="47"/>
      <c r="AB117" s="47"/>
      <c r="AC117" s="47"/>
      <c r="AD117" s="48">
        <v>20</v>
      </c>
      <c r="AE117" s="48"/>
      <c r="AF117" s="48"/>
      <c r="AG117" s="48"/>
      <c r="AH117" s="33"/>
      <c r="AI117" s="33"/>
      <c r="AJ117" s="33"/>
      <c r="AM117" s="3">
        <f t="shared" si="4"/>
        <v>0</v>
      </c>
    </row>
    <row r="118" spans="2:39" ht="27" customHeight="1" x14ac:dyDescent="0.3">
      <c r="B118" s="14"/>
      <c r="C118" s="52" t="s">
        <v>98</v>
      </c>
      <c r="D118" s="52"/>
      <c r="E118" s="52"/>
      <c r="F118" s="52"/>
      <c r="G118" s="52"/>
      <c r="H118" s="52"/>
      <c r="I118" s="52"/>
      <c r="J118" s="52"/>
      <c r="K118" s="52"/>
      <c r="L118" s="52"/>
      <c r="M118" s="52"/>
      <c r="N118" s="52"/>
      <c r="O118" s="52"/>
      <c r="P118" s="52"/>
      <c r="Q118" s="52"/>
      <c r="R118" s="52"/>
      <c r="S118" s="52"/>
      <c r="T118" s="52"/>
      <c r="U118" s="52"/>
      <c r="V118" s="52"/>
      <c r="W118" s="52"/>
      <c r="X118" s="52"/>
      <c r="Y118" s="52"/>
      <c r="Z118" s="53" t="s">
        <v>35</v>
      </c>
      <c r="AA118" s="53"/>
      <c r="AB118" s="53"/>
      <c r="AC118" s="53"/>
      <c r="AD118" s="54">
        <v>40</v>
      </c>
      <c r="AE118" s="54"/>
      <c r="AF118" s="54"/>
      <c r="AG118" s="54"/>
      <c r="AH118" s="33"/>
      <c r="AI118" s="33"/>
      <c r="AJ118" s="33"/>
      <c r="AM118" s="3">
        <f t="shared" si="4"/>
        <v>0</v>
      </c>
    </row>
    <row r="119" spans="2:39" ht="27" customHeight="1" x14ac:dyDescent="0.3">
      <c r="B119" s="14"/>
      <c r="C119" s="46" t="s">
        <v>99</v>
      </c>
      <c r="D119" s="46"/>
      <c r="E119" s="46"/>
      <c r="F119" s="46"/>
      <c r="G119" s="46"/>
      <c r="H119" s="46"/>
      <c r="I119" s="46"/>
      <c r="J119" s="46"/>
      <c r="K119" s="46"/>
      <c r="L119" s="46"/>
      <c r="M119" s="46"/>
      <c r="N119" s="46"/>
      <c r="O119" s="46"/>
      <c r="P119" s="46"/>
      <c r="Q119" s="46"/>
      <c r="R119" s="46"/>
      <c r="S119" s="46"/>
      <c r="T119" s="46"/>
      <c r="U119" s="46"/>
      <c r="V119" s="46"/>
      <c r="W119" s="46"/>
      <c r="X119" s="46"/>
      <c r="Y119" s="46"/>
      <c r="Z119" s="47" t="s">
        <v>39</v>
      </c>
      <c r="AA119" s="47"/>
      <c r="AB119" s="47"/>
      <c r="AC119" s="47"/>
      <c r="AD119" s="48">
        <v>60</v>
      </c>
      <c r="AE119" s="48"/>
      <c r="AF119" s="48"/>
      <c r="AG119" s="48"/>
      <c r="AH119" s="33"/>
      <c r="AI119" s="33"/>
      <c r="AJ119" s="33"/>
      <c r="AM119" s="3">
        <f t="shared" si="4"/>
        <v>0</v>
      </c>
    </row>
    <row r="120" spans="2:39" ht="27.75" customHeight="1" x14ac:dyDescent="0.3">
      <c r="B120" s="14"/>
      <c r="C120" s="52" t="s">
        <v>100</v>
      </c>
      <c r="D120" s="52"/>
      <c r="E120" s="52"/>
      <c r="F120" s="52"/>
      <c r="G120" s="52"/>
      <c r="H120" s="52"/>
      <c r="I120" s="52"/>
      <c r="J120" s="52"/>
      <c r="K120" s="52"/>
      <c r="L120" s="52"/>
      <c r="M120" s="52"/>
      <c r="N120" s="52"/>
      <c r="O120" s="52"/>
      <c r="P120" s="52"/>
      <c r="Q120" s="52"/>
      <c r="R120" s="52"/>
      <c r="S120" s="52"/>
      <c r="T120" s="52"/>
      <c r="U120" s="52"/>
      <c r="V120" s="52"/>
      <c r="W120" s="52"/>
      <c r="X120" s="52"/>
      <c r="Y120" s="52"/>
      <c r="Z120" s="53" t="s">
        <v>43</v>
      </c>
      <c r="AA120" s="53"/>
      <c r="AB120" s="53"/>
      <c r="AC120" s="53"/>
      <c r="AD120" s="54">
        <v>80</v>
      </c>
      <c r="AE120" s="54"/>
      <c r="AF120" s="54"/>
      <c r="AG120" s="54"/>
      <c r="AH120" s="33"/>
      <c r="AI120" s="33"/>
      <c r="AJ120" s="33"/>
      <c r="AM120" s="3">
        <f t="shared" si="4"/>
        <v>0</v>
      </c>
    </row>
    <row r="121" spans="2:39" x14ac:dyDescent="0.3">
      <c r="B121" s="31"/>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c r="AA121" s="33"/>
      <c r="AB121" s="33"/>
      <c r="AC121" s="33"/>
      <c r="AD121" s="33"/>
      <c r="AE121" s="33"/>
      <c r="AF121" s="33"/>
      <c r="AG121" s="33"/>
      <c r="AH121" s="33"/>
      <c r="AI121" s="33"/>
      <c r="AJ121" s="33"/>
      <c r="AM121" s="15">
        <f>SUM(AM113:AM120)</f>
        <v>0</v>
      </c>
    </row>
    <row r="122" spans="2:39" hidden="1" x14ac:dyDescent="0.3">
      <c r="B122" s="31"/>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c r="AA122" s="33"/>
      <c r="AB122" s="33"/>
      <c r="AC122" s="33"/>
      <c r="AD122" s="33"/>
      <c r="AE122" s="33"/>
      <c r="AF122" s="33"/>
      <c r="AG122" s="33"/>
      <c r="AH122" s="33"/>
      <c r="AI122" s="33"/>
      <c r="AJ122" s="33"/>
    </row>
    <row r="123" spans="2:39" x14ac:dyDescent="0.3">
      <c r="B123" s="31"/>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c r="AA123" s="33"/>
      <c r="AB123" s="33"/>
      <c r="AC123" s="33"/>
      <c r="AD123" s="33"/>
      <c r="AE123" s="33"/>
      <c r="AF123" s="33"/>
      <c r="AG123" s="33"/>
      <c r="AH123" s="33"/>
      <c r="AI123" s="33"/>
      <c r="AJ123" s="33"/>
    </row>
    <row r="124" spans="2:39" ht="15.6" x14ac:dyDescent="0.3">
      <c r="B124" s="30"/>
      <c r="C124" s="43" t="s">
        <v>101</v>
      </c>
      <c r="D124" s="43"/>
      <c r="E124" s="43"/>
      <c r="F124" s="43"/>
      <c r="G124" s="43"/>
      <c r="H124" s="43"/>
      <c r="I124" s="43"/>
      <c r="J124" s="43"/>
      <c r="K124" s="43"/>
      <c r="L124" s="43"/>
      <c r="M124" s="43"/>
      <c r="N124" s="43"/>
      <c r="O124" s="43"/>
      <c r="P124" s="43"/>
      <c r="Q124" s="43"/>
      <c r="R124" s="18"/>
      <c r="S124" s="18"/>
      <c r="T124" s="18"/>
      <c r="U124" s="18"/>
      <c r="V124" s="18"/>
      <c r="W124" s="18"/>
      <c r="X124" s="18"/>
      <c r="Y124" s="18"/>
      <c r="Z124" s="18"/>
      <c r="AA124" s="18"/>
      <c r="AB124" s="18"/>
      <c r="AC124" s="18"/>
      <c r="AD124" s="18"/>
      <c r="AE124" s="18"/>
      <c r="AF124" s="18"/>
      <c r="AG124" s="18"/>
      <c r="AH124" s="33"/>
      <c r="AI124" s="33"/>
      <c r="AJ124" s="33"/>
    </row>
    <row r="125" spans="2:39" hidden="1" x14ac:dyDescent="0.3">
      <c r="B125" s="31"/>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c r="AA125" s="33"/>
      <c r="AB125" s="33"/>
      <c r="AC125" s="33"/>
      <c r="AD125" s="33"/>
      <c r="AE125" s="33"/>
      <c r="AF125" s="33"/>
      <c r="AG125" s="33"/>
      <c r="AH125" s="33"/>
      <c r="AI125" s="33"/>
      <c r="AJ125" s="33"/>
    </row>
    <row r="126" spans="2:39" ht="93.6" customHeight="1" x14ac:dyDescent="0.3">
      <c r="B126" s="31"/>
      <c r="C126" s="56" t="s">
        <v>102</v>
      </c>
      <c r="D126" s="56"/>
      <c r="E126" s="56"/>
      <c r="F126" s="56"/>
      <c r="G126" s="56"/>
      <c r="H126" s="56"/>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33"/>
      <c r="AI126" s="33"/>
      <c r="AJ126" s="33"/>
    </row>
    <row r="127" spans="2:39" ht="23.1" hidden="1" customHeight="1" x14ac:dyDescent="0.3">
      <c r="B127" s="31"/>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row>
    <row r="128" spans="2:39" ht="15.6" x14ac:dyDescent="0.3">
      <c r="B128" s="34"/>
      <c r="C128" s="43" t="s">
        <v>103</v>
      </c>
      <c r="D128" s="43"/>
      <c r="E128" s="43"/>
      <c r="F128" s="43"/>
      <c r="G128" s="43"/>
      <c r="H128" s="43"/>
      <c r="I128" s="43"/>
      <c r="J128" s="43"/>
      <c r="K128" s="43"/>
      <c r="L128" s="43"/>
      <c r="M128" s="43"/>
      <c r="N128" s="43"/>
      <c r="O128" s="43"/>
      <c r="P128" s="45" t="s">
        <v>15</v>
      </c>
      <c r="Q128" s="45"/>
      <c r="R128" s="45"/>
      <c r="S128" s="45"/>
      <c r="T128" s="33"/>
      <c r="U128" s="33"/>
      <c r="V128" s="33"/>
      <c r="W128" s="33"/>
      <c r="X128" s="33"/>
      <c r="Y128" s="33"/>
      <c r="Z128" s="33"/>
      <c r="AA128" s="33"/>
      <c r="AB128" s="33"/>
      <c r="AC128" s="33"/>
      <c r="AD128" s="33"/>
      <c r="AE128" s="33"/>
      <c r="AF128" s="33"/>
      <c r="AG128" s="33"/>
      <c r="AH128" s="33"/>
      <c r="AI128" s="33"/>
      <c r="AJ128" s="33"/>
    </row>
    <row r="129" spans="2:39" x14ac:dyDescent="0.3">
      <c r="B129" s="14"/>
      <c r="C129" s="55" t="s">
        <v>104</v>
      </c>
      <c r="D129" s="55"/>
      <c r="E129" s="55"/>
      <c r="F129" s="55"/>
      <c r="G129" s="55"/>
      <c r="H129" s="55"/>
      <c r="I129" s="55"/>
      <c r="J129" s="55"/>
      <c r="K129" s="55"/>
      <c r="L129" s="55"/>
      <c r="M129" s="55"/>
      <c r="N129" s="55"/>
      <c r="O129" s="55"/>
      <c r="P129" s="48">
        <v>1</v>
      </c>
      <c r="Q129" s="48"/>
      <c r="R129" s="48"/>
      <c r="S129" s="48"/>
      <c r="T129" s="33"/>
      <c r="U129" s="33"/>
      <c r="V129" s="33"/>
      <c r="W129" s="33"/>
      <c r="X129" s="33"/>
      <c r="Y129" s="33"/>
      <c r="Z129" s="33"/>
      <c r="AA129" s="33"/>
      <c r="AB129" s="33"/>
      <c r="AC129" s="33"/>
      <c r="AD129" s="33"/>
      <c r="AE129" s="33"/>
      <c r="AF129" s="33"/>
      <c r="AG129" s="33"/>
      <c r="AH129" s="33"/>
      <c r="AI129" s="33"/>
      <c r="AJ129" s="33"/>
      <c r="AM129" s="3">
        <f t="shared" ref="AM129:AM145" si="5">IF($B129="X",$P129,0)</f>
        <v>0</v>
      </c>
    </row>
    <row r="130" spans="2:39" x14ac:dyDescent="0.3">
      <c r="B130" s="14"/>
      <c r="C130" s="63">
        <v>1</v>
      </c>
      <c r="D130" s="64"/>
      <c r="E130" s="64"/>
      <c r="F130" s="64"/>
      <c r="G130" s="64"/>
      <c r="H130" s="64"/>
      <c r="I130" s="64"/>
      <c r="J130" s="64"/>
      <c r="K130" s="64"/>
      <c r="L130" s="64"/>
      <c r="M130" s="64"/>
      <c r="N130" s="64"/>
      <c r="O130" s="64"/>
      <c r="P130" s="54">
        <v>3</v>
      </c>
      <c r="Q130" s="54"/>
      <c r="R130" s="54"/>
      <c r="S130" s="54"/>
      <c r="T130" s="33"/>
      <c r="U130" s="33"/>
      <c r="V130" s="33"/>
      <c r="W130" s="33"/>
      <c r="X130" s="33"/>
      <c r="Y130" s="33"/>
      <c r="Z130" s="33"/>
      <c r="AA130" s="33"/>
      <c r="AB130" s="33"/>
      <c r="AC130" s="33"/>
      <c r="AD130" s="33"/>
      <c r="AE130" s="33"/>
      <c r="AF130" s="33"/>
      <c r="AG130" s="33"/>
      <c r="AH130" s="33"/>
      <c r="AI130" s="33"/>
      <c r="AJ130" s="33"/>
      <c r="AM130" s="3">
        <f t="shared" si="5"/>
        <v>0</v>
      </c>
    </row>
    <row r="131" spans="2:39" x14ac:dyDescent="0.3">
      <c r="B131" s="14"/>
      <c r="C131" s="55" t="s">
        <v>105</v>
      </c>
      <c r="D131" s="55"/>
      <c r="E131" s="55"/>
      <c r="F131" s="55"/>
      <c r="G131" s="55"/>
      <c r="H131" s="55"/>
      <c r="I131" s="55"/>
      <c r="J131" s="55"/>
      <c r="K131" s="55"/>
      <c r="L131" s="55"/>
      <c r="M131" s="55"/>
      <c r="N131" s="55"/>
      <c r="O131" s="55"/>
      <c r="P131" s="48">
        <v>5</v>
      </c>
      <c r="Q131" s="48"/>
      <c r="R131" s="48"/>
      <c r="S131" s="48"/>
      <c r="T131" s="33"/>
      <c r="U131" s="33"/>
      <c r="V131" s="33"/>
      <c r="W131" s="33"/>
      <c r="X131" s="33"/>
      <c r="Y131" s="33"/>
      <c r="Z131" s="33"/>
      <c r="AA131" s="33"/>
      <c r="AB131" s="33"/>
      <c r="AC131" s="33"/>
      <c r="AD131" s="33"/>
      <c r="AE131" s="33"/>
      <c r="AF131" s="33"/>
      <c r="AG131" s="33"/>
      <c r="AH131" s="33"/>
      <c r="AI131" s="33"/>
      <c r="AJ131" s="33"/>
      <c r="AM131" s="3">
        <f t="shared" si="5"/>
        <v>0</v>
      </c>
    </row>
    <row r="132" spans="2:39" x14ac:dyDescent="0.3">
      <c r="B132" s="14"/>
      <c r="C132" s="58" t="s">
        <v>106</v>
      </c>
      <c r="D132" s="58"/>
      <c r="E132" s="58"/>
      <c r="F132" s="58"/>
      <c r="G132" s="58"/>
      <c r="H132" s="58"/>
      <c r="I132" s="58"/>
      <c r="J132" s="58"/>
      <c r="K132" s="58"/>
      <c r="L132" s="58"/>
      <c r="M132" s="58"/>
      <c r="N132" s="58"/>
      <c r="O132" s="58"/>
      <c r="P132" s="54">
        <v>8</v>
      </c>
      <c r="Q132" s="54"/>
      <c r="R132" s="54"/>
      <c r="S132" s="54"/>
      <c r="T132" s="33"/>
      <c r="U132" s="33"/>
      <c r="V132" s="33"/>
      <c r="W132" s="33"/>
      <c r="X132" s="33"/>
      <c r="Y132" s="33"/>
      <c r="Z132" s="33"/>
      <c r="AA132" s="33"/>
      <c r="AB132" s="33"/>
      <c r="AC132" s="33"/>
      <c r="AD132" s="33"/>
      <c r="AE132" s="33"/>
      <c r="AF132" s="33"/>
      <c r="AG132" s="33"/>
      <c r="AH132" s="33"/>
      <c r="AI132" s="33"/>
      <c r="AJ132" s="33"/>
      <c r="AM132" s="3">
        <f t="shared" si="5"/>
        <v>0</v>
      </c>
    </row>
    <row r="133" spans="2:39" x14ac:dyDescent="0.3">
      <c r="B133" s="14"/>
      <c r="C133" s="55" t="s">
        <v>107</v>
      </c>
      <c r="D133" s="55"/>
      <c r="E133" s="55"/>
      <c r="F133" s="55"/>
      <c r="G133" s="55"/>
      <c r="H133" s="55"/>
      <c r="I133" s="55"/>
      <c r="J133" s="55"/>
      <c r="K133" s="55"/>
      <c r="L133" s="55"/>
      <c r="M133" s="55"/>
      <c r="N133" s="55"/>
      <c r="O133" s="55"/>
      <c r="P133" s="48">
        <v>10</v>
      </c>
      <c r="Q133" s="48"/>
      <c r="R133" s="48"/>
      <c r="S133" s="48"/>
      <c r="T133" s="33"/>
      <c r="U133" s="33"/>
      <c r="V133" s="33"/>
      <c r="W133" s="33"/>
      <c r="X133" s="33"/>
      <c r="Y133" s="33"/>
      <c r="Z133" s="33"/>
      <c r="AA133" s="33"/>
      <c r="AB133" s="33"/>
      <c r="AC133" s="33"/>
      <c r="AD133" s="33"/>
      <c r="AE133" s="33"/>
      <c r="AF133" s="33"/>
      <c r="AG133" s="33"/>
      <c r="AH133" s="33"/>
      <c r="AI133" s="33"/>
      <c r="AJ133" s="33"/>
      <c r="AM133" s="3">
        <f t="shared" si="5"/>
        <v>0</v>
      </c>
    </row>
    <row r="134" spans="2:39" x14ac:dyDescent="0.3">
      <c r="B134" s="14"/>
      <c r="C134" s="58" t="s">
        <v>108</v>
      </c>
      <c r="D134" s="58"/>
      <c r="E134" s="58"/>
      <c r="F134" s="58"/>
      <c r="G134" s="58"/>
      <c r="H134" s="58"/>
      <c r="I134" s="58"/>
      <c r="J134" s="58"/>
      <c r="K134" s="58"/>
      <c r="L134" s="58"/>
      <c r="M134" s="58"/>
      <c r="N134" s="58"/>
      <c r="O134" s="58"/>
      <c r="P134" s="54">
        <v>15</v>
      </c>
      <c r="Q134" s="54"/>
      <c r="R134" s="54"/>
      <c r="S134" s="54"/>
      <c r="T134" s="33"/>
      <c r="U134" s="33"/>
      <c r="V134" s="33"/>
      <c r="W134" s="33"/>
      <c r="X134" s="33"/>
      <c r="Y134" s="33"/>
      <c r="Z134" s="33"/>
      <c r="AA134" s="33"/>
      <c r="AB134" s="33"/>
      <c r="AC134" s="33"/>
      <c r="AD134" s="33"/>
      <c r="AE134" s="33"/>
      <c r="AF134" s="33"/>
      <c r="AG134" s="33"/>
      <c r="AH134" s="33"/>
      <c r="AI134" s="33"/>
      <c r="AJ134" s="33"/>
      <c r="AM134" s="3">
        <f t="shared" si="5"/>
        <v>0</v>
      </c>
    </row>
    <row r="135" spans="2:39" x14ac:dyDescent="0.3">
      <c r="B135" s="14"/>
      <c r="C135" s="55" t="s">
        <v>109</v>
      </c>
      <c r="D135" s="55"/>
      <c r="E135" s="55"/>
      <c r="F135" s="55"/>
      <c r="G135" s="55"/>
      <c r="H135" s="55"/>
      <c r="I135" s="55"/>
      <c r="J135" s="55"/>
      <c r="K135" s="55"/>
      <c r="L135" s="55"/>
      <c r="M135" s="55"/>
      <c r="N135" s="55"/>
      <c r="O135" s="55"/>
      <c r="P135" s="48">
        <v>20</v>
      </c>
      <c r="Q135" s="48"/>
      <c r="R135" s="48"/>
      <c r="S135" s="48"/>
      <c r="T135" s="33"/>
      <c r="U135" s="33"/>
      <c r="V135" s="33"/>
      <c r="W135" s="33"/>
      <c r="X135" s="33"/>
      <c r="Y135" s="33"/>
      <c r="Z135" s="33"/>
      <c r="AA135" s="33"/>
      <c r="AB135" s="33"/>
      <c r="AC135" s="33"/>
      <c r="AD135" s="33"/>
      <c r="AE135" s="33"/>
      <c r="AF135" s="33"/>
      <c r="AG135" s="33"/>
      <c r="AH135" s="33"/>
      <c r="AI135" s="33"/>
      <c r="AJ135" s="33"/>
      <c r="AM135" s="3">
        <f t="shared" si="5"/>
        <v>0</v>
      </c>
    </row>
    <row r="136" spans="2:39" x14ac:dyDescent="0.3">
      <c r="B136" s="14"/>
      <c r="C136" s="58" t="s">
        <v>110</v>
      </c>
      <c r="D136" s="58"/>
      <c r="E136" s="58"/>
      <c r="F136" s="58"/>
      <c r="G136" s="58"/>
      <c r="H136" s="58"/>
      <c r="I136" s="58"/>
      <c r="J136" s="58"/>
      <c r="K136" s="58"/>
      <c r="L136" s="58"/>
      <c r="M136" s="58"/>
      <c r="N136" s="58"/>
      <c r="O136" s="58"/>
      <c r="P136" s="54">
        <v>25</v>
      </c>
      <c r="Q136" s="54"/>
      <c r="R136" s="54"/>
      <c r="S136" s="54"/>
      <c r="T136" s="33"/>
      <c r="U136" s="33"/>
      <c r="V136" s="33"/>
      <c r="W136" s="33"/>
      <c r="X136" s="33"/>
      <c r="Y136" s="33"/>
      <c r="Z136" s="33"/>
      <c r="AA136" s="33"/>
      <c r="AB136" s="33"/>
      <c r="AC136" s="33"/>
      <c r="AD136" s="33"/>
      <c r="AE136" s="33"/>
      <c r="AF136" s="33"/>
      <c r="AG136" s="33"/>
      <c r="AH136" s="33"/>
      <c r="AI136" s="33"/>
      <c r="AJ136" s="33"/>
      <c r="AM136" s="3">
        <f t="shared" si="5"/>
        <v>0</v>
      </c>
    </row>
    <row r="137" spans="2:39" x14ac:dyDescent="0.3">
      <c r="B137" s="14"/>
      <c r="C137" s="55" t="s">
        <v>111</v>
      </c>
      <c r="D137" s="55"/>
      <c r="E137" s="55"/>
      <c r="F137" s="55"/>
      <c r="G137" s="55"/>
      <c r="H137" s="55"/>
      <c r="I137" s="55"/>
      <c r="J137" s="55"/>
      <c r="K137" s="55"/>
      <c r="L137" s="55"/>
      <c r="M137" s="55"/>
      <c r="N137" s="55"/>
      <c r="O137" s="55"/>
      <c r="P137" s="48">
        <v>30</v>
      </c>
      <c r="Q137" s="48"/>
      <c r="R137" s="48"/>
      <c r="S137" s="48"/>
      <c r="T137" s="33"/>
      <c r="U137" s="33"/>
      <c r="V137" s="33"/>
      <c r="W137" s="33"/>
      <c r="X137" s="33"/>
      <c r="Y137" s="33"/>
      <c r="Z137" s="33"/>
      <c r="AA137" s="33"/>
      <c r="AB137" s="33"/>
      <c r="AC137" s="33"/>
      <c r="AD137" s="33"/>
      <c r="AE137" s="33"/>
      <c r="AF137" s="33"/>
      <c r="AG137" s="33"/>
      <c r="AH137" s="33"/>
      <c r="AI137" s="33"/>
      <c r="AJ137" s="33"/>
      <c r="AM137" s="3">
        <f t="shared" si="5"/>
        <v>0</v>
      </c>
    </row>
    <row r="138" spans="2:39" x14ac:dyDescent="0.3">
      <c r="B138" s="14"/>
      <c r="C138" s="58" t="s">
        <v>112</v>
      </c>
      <c r="D138" s="58"/>
      <c r="E138" s="58"/>
      <c r="F138" s="58"/>
      <c r="G138" s="58"/>
      <c r="H138" s="58"/>
      <c r="I138" s="58"/>
      <c r="J138" s="58"/>
      <c r="K138" s="58"/>
      <c r="L138" s="58"/>
      <c r="M138" s="58"/>
      <c r="N138" s="58"/>
      <c r="O138" s="58"/>
      <c r="P138" s="54">
        <v>35</v>
      </c>
      <c r="Q138" s="54"/>
      <c r="R138" s="54"/>
      <c r="S138" s="54"/>
      <c r="T138" s="33"/>
      <c r="U138" s="33"/>
      <c r="V138" s="33"/>
      <c r="W138" s="33"/>
      <c r="X138" s="33"/>
      <c r="Y138" s="33"/>
      <c r="Z138" s="33"/>
      <c r="AA138" s="33"/>
      <c r="AB138" s="33"/>
      <c r="AC138" s="33"/>
      <c r="AD138" s="33"/>
      <c r="AE138" s="33"/>
      <c r="AF138" s="33"/>
      <c r="AG138" s="33"/>
      <c r="AH138" s="33"/>
      <c r="AI138" s="33"/>
      <c r="AJ138" s="33"/>
      <c r="AM138" s="3">
        <f t="shared" si="5"/>
        <v>0</v>
      </c>
    </row>
    <row r="139" spans="2:39" x14ac:dyDescent="0.3">
      <c r="B139" s="14"/>
      <c r="C139" s="55" t="s">
        <v>113</v>
      </c>
      <c r="D139" s="55"/>
      <c r="E139" s="55"/>
      <c r="F139" s="55"/>
      <c r="G139" s="55"/>
      <c r="H139" s="55"/>
      <c r="I139" s="55"/>
      <c r="J139" s="55"/>
      <c r="K139" s="55"/>
      <c r="L139" s="55"/>
      <c r="M139" s="55"/>
      <c r="N139" s="55"/>
      <c r="O139" s="55"/>
      <c r="P139" s="48">
        <v>40</v>
      </c>
      <c r="Q139" s="48"/>
      <c r="R139" s="48"/>
      <c r="S139" s="48"/>
      <c r="T139" s="33"/>
      <c r="U139" s="33"/>
      <c r="V139" s="33"/>
      <c r="W139" s="33"/>
      <c r="X139" s="33"/>
      <c r="Y139" s="33"/>
      <c r="Z139" s="33"/>
      <c r="AA139" s="33"/>
      <c r="AB139" s="33"/>
      <c r="AC139" s="33"/>
      <c r="AD139" s="33"/>
      <c r="AE139" s="33"/>
      <c r="AF139" s="33"/>
      <c r="AG139" s="33"/>
      <c r="AH139" s="33"/>
      <c r="AI139" s="33"/>
      <c r="AJ139" s="33"/>
      <c r="AM139" s="3">
        <f t="shared" si="5"/>
        <v>0</v>
      </c>
    </row>
    <row r="140" spans="2:39" x14ac:dyDescent="0.3">
      <c r="B140" s="14"/>
      <c r="C140" s="58" t="s">
        <v>114</v>
      </c>
      <c r="D140" s="58"/>
      <c r="E140" s="58"/>
      <c r="F140" s="58"/>
      <c r="G140" s="58"/>
      <c r="H140" s="58"/>
      <c r="I140" s="58"/>
      <c r="J140" s="58"/>
      <c r="K140" s="58"/>
      <c r="L140" s="58"/>
      <c r="M140" s="58"/>
      <c r="N140" s="58"/>
      <c r="O140" s="58"/>
      <c r="P140" s="54">
        <v>45</v>
      </c>
      <c r="Q140" s="54"/>
      <c r="R140" s="54"/>
      <c r="S140" s="54"/>
      <c r="T140" s="33"/>
      <c r="U140" s="33"/>
      <c r="V140" s="33"/>
      <c r="W140" s="33"/>
      <c r="X140" s="33"/>
      <c r="Y140" s="33"/>
      <c r="Z140" s="33"/>
      <c r="AA140" s="33"/>
      <c r="AB140" s="33"/>
      <c r="AC140" s="33"/>
      <c r="AD140" s="33"/>
      <c r="AE140" s="33"/>
      <c r="AF140" s="33"/>
      <c r="AG140" s="33"/>
      <c r="AH140" s="33"/>
      <c r="AI140" s="33"/>
      <c r="AJ140" s="33"/>
      <c r="AM140" s="3">
        <f t="shared" si="5"/>
        <v>0</v>
      </c>
    </row>
    <row r="141" spans="2:39" x14ac:dyDescent="0.3">
      <c r="B141" s="14"/>
      <c r="C141" s="55" t="s">
        <v>115</v>
      </c>
      <c r="D141" s="55"/>
      <c r="E141" s="55"/>
      <c r="F141" s="55"/>
      <c r="G141" s="55"/>
      <c r="H141" s="55"/>
      <c r="I141" s="55"/>
      <c r="J141" s="55"/>
      <c r="K141" s="55"/>
      <c r="L141" s="55"/>
      <c r="M141" s="55"/>
      <c r="N141" s="55"/>
      <c r="O141" s="55"/>
      <c r="P141" s="48">
        <v>50</v>
      </c>
      <c r="Q141" s="48"/>
      <c r="R141" s="48"/>
      <c r="S141" s="48"/>
      <c r="T141" s="33"/>
      <c r="U141" s="33"/>
      <c r="V141" s="33"/>
      <c r="W141" s="33"/>
      <c r="X141" s="33"/>
      <c r="Y141" s="33"/>
      <c r="Z141" s="33"/>
      <c r="AA141" s="33"/>
      <c r="AB141" s="33"/>
      <c r="AC141" s="33"/>
      <c r="AD141" s="33"/>
      <c r="AE141" s="33"/>
      <c r="AF141" s="33"/>
      <c r="AG141" s="33"/>
      <c r="AH141" s="33"/>
      <c r="AI141" s="33"/>
      <c r="AJ141" s="33"/>
      <c r="AM141" s="3">
        <f t="shared" si="5"/>
        <v>0</v>
      </c>
    </row>
    <row r="142" spans="2:39" x14ac:dyDescent="0.3">
      <c r="B142" s="14"/>
      <c r="C142" s="58" t="s">
        <v>116</v>
      </c>
      <c r="D142" s="58"/>
      <c r="E142" s="58"/>
      <c r="F142" s="58"/>
      <c r="G142" s="58"/>
      <c r="H142" s="58"/>
      <c r="I142" s="58"/>
      <c r="J142" s="58"/>
      <c r="K142" s="58"/>
      <c r="L142" s="58"/>
      <c r="M142" s="58"/>
      <c r="N142" s="58"/>
      <c r="O142" s="58"/>
      <c r="P142" s="54">
        <v>55</v>
      </c>
      <c r="Q142" s="54"/>
      <c r="R142" s="54"/>
      <c r="S142" s="54"/>
      <c r="T142" s="33"/>
      <c r="U142" s="33"/>
      <c r="V142" s="33"/>
      <c r="W142" s="33"/>
      <c r="X142" s="33"/>
      <c r="Y142" s="33"/>
      <c r="Z142" s="33"/>
      <c r="AA142" s="33"/>
      <c r="AB142" s="33"/>
      <c r="AC142" s="33"/>
      <c r="AD142" s="33"/>
      <c r="AE142" s="33"/>
      <c r="AF142" s="33"/>
      <c r="AG142" s="33"/>
      <c r="AH142" s="33"/>
      <c r="AI142" s="33"/>
      <c r="AJ142" s="33"/>
      <c r="AM142" s="3">
        <f t="shared" si="5"/>
        <v>0</v>
      </c>
    </row>
    <row r="143" spans="2:39" x14ac:dyDescent="0.3">
      <c r="B143" s="14"/>
      <c r="C143" s="55" t="s">
        <v>117</v>
      </c>
      <c r="D143" s="55"/>
      <c r="E143" s="55"/>
      <c r="F143" s="55"/>
      <c r="G143" s="55"/>
      <c r="H143" s="55"/>
      <c r="I143" s="55"/>
      <c r="J143" s="55"/>
      <c r="K143" s="55"/>
      <c r="L143" s="55"/>
      <c r="M143" s="55"/>
      <c r="N143" s="55"/>
      <c r="O143" s="55"/>
      <c r="P143" s="48">
        <v>60</v>
      </c>
      <c r="Q143" s="48"/>
      <c r="R143" s="48"/>
      <c r="S143" s="48"/>
      <c r="T143" s="33"/>
      <c r="U143" s="33"/>
      <c r="V143" s="33"/>
      <c r="W143" s="33"/>
      <c r="X143" s="33"/>
      <c r="Y143" s="33"/>
      <c r="Z143" s="33"/>
      <c r="AA143" s="33"/>
      <c r="AB143" s="33"/>
      <c r="AC143" s="33"/>
      <c r="AD143" s="33"/>
      <c r="AE143" s="33"/>
      <c r="AF143" s="33"/>
      <c r="AG143" s="33"/>
      <c r="AH143" s="33"/>
      <c r="AI143" s="33"/>
      <c r="AJ143" s="33"/>
      <c r="AM143" s="3">
        <f t="shared" si="5"/>
        <v>0</v>
      </c>
    </row>
    <row r="144" spans="2:39" x14ac:dyDescent="0.3">
      <c r="B144" s="14"/>
      <c r="C144" s="58" t="s">
        <v>118</v>
      </c>
      <c r="D144" s="58"/>
      <c r="E144" s="58"/>
      <c r="F144" s="58"/>
      <c r="G144" s="58"/>
      <c r="H144" s="58"/>
      <c r="I144" s="58"/>
      <c r="J144" s="58"/>
      <c r="K144" s="58"/>
      <c r="L144" s="58"/>
      <c r="M144" s="58"/>
      <c r="N144" s="58"/>
      <c r="O144" s="58"/>
      <c r="P144" s="54">
        <v>65</v>
      </c>
      <c r="Q144" s="54"/>
      <c r="R144" s="54"/>
      <c r="S144" s="54"/>
      <c r="T144" s="33"/>
      <c r="U144" s="33"/>
      <c r="V144" s="33"/>
      <c r="W144" s="33"/>
      <c r="X144" s="33"/>
      <c r="Y144" s="33"/>
      <c r="Z144" s="33"/>
      <c r="AA144" s="33"/>
      <c r="AB144" s="33"/>
      <c r="AC144" s="33"/>
      <c r="AD144" s="33"/>
      <c r="AE144" s="33"/>
      <c r="AF144" s="33"/>
      <c r="AG144" s="33"/>
      <c r="AH144" s="33"/>
      <c r="AI144" s="33"/>
      <c r="AJ144" s="33"/>
      <c r="AM144" s="3">
        <f t="shared" si="5"/>
        <v>0</v>
      </c>
    </row>
    <row r="145" spans="2:39" x14ac:dyDescent="0.3">
      <c r="B145" s="14"/>
      <c r="C145" s="55" t="s">
        <v>119</v>
      </c>
      <c r="D145" s="55"/>
      <c r="E145" s="55"/>
      <c r="F145" s="55"/>
      <c r="G145" s="55"/>
      <c r="H145" s="55"/>
      <c r="I145" s="55"/>
      <c r="J145" s="55"/>
      <c r="K145" s="55"/>
      <c r="L145" s="55"/>
      <c r="M145" s="55"/>
      <c r="N145" s="55"/>
      <c r="O145" s="55"/>
      <c r="P145" s="48">
        <v>70</v>
      </c>
      <c r="Q145" s="48"/>
      <c r="R145" s="48"/>
      <c r="S145" s="48"/>
      <c r="T145" s="33"/>
      <c r="U145" s="33"/>
      <c r="V145" s="33"/>
      <c r="W145" s="33"/>
      <c r="X145" s="33"/>
      <c r="Y145" s="33"/>
      <c r="Z145" s="33"/>
      <c r="AA145" s="33"/>
      <c r="AB145" s="33"/>
      <c r="AC145" s="33"/>
      <c r="AD145" s="33"/>
      <c r="AE145" s="33"/>
      <c r="AF145" s="33"/>
      <c r="AG145" s="33"/>
      <c r="AH145" s="33"/>
      <c r="AI145" s="33"/>
      <c r="AJ145" s="33"/>
      <c r="AM145" s="3">
        <f t="shared" si="5"/>
        <v>0</v>
      </c>
    </row>
    <row r="146" spans="2:39" x14ac:dyDescent="0.3">
      <c r="B146" s="31"/>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c r="AA146" s="33"/>
      <c r="AB146" s="33"/>
      <c r="AC146" s="33"/>
      <c r="AD146" s="33"/>
      <c r="AE146" s="33"/>
      <c r="AF146" s="33"/>
      <c r="AG146" s="33"/>
      <c r="AH146" s="33"/>
      <c r="AI146" s="33"/>
      <c r="AJ146" s="33"/>
      <c r="AM146" s="15">
        <f>SUM(AM129:AM145)</f>
        <v>0</v>
      </c>
    </row>
    <row r="147" spans="2:39" hidden="1" x14ac:dyDescent="0.3">
      <c r="B147" s="31"/>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c r="AA147" s="33"/>
      <c r="AB147" s="33"/>
      <c r="AC147" s="33"/>
      <c r="AD147" s="33"/>
      <c r="AE147" s="33"/>
      <c r="AF147" s="33"/>
      <c r="AG147" s="33"/>
      <c r="AH147" s="33"/>
      <c r="AI147" s="33"/>
      <c r="AJ147" s="33"/>
    </row>
    <row r="148" spans="2:39" x14ac:dyDescent="0.3">
      <c r="B148" s="31"/>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c r="AA148" s="33"/>
      <c r="AB148" s="33"/>
      <c r="AC148" s="33"/>
      <c r="AD148" s="33"/>
      <c r="AE148" s="33"/>
      <c r="AF148" s="33"/>
      <c r="AG148" s="33"/>
      <c r="AH148" s="33"/>
      <c r="AI148" s="33"/>
      <c r="AJ148" s="33"/>
    </row>
    <row r="149" spans="2:39" ht="15.6" x14ac:dyDescent="0.3">
      <c r="B149" s="30"/>
      <c r="C149" s="43" t="s">
        <v>120</v>
      </c>
      <c r="D149" s="43"/>
      <c r="E149" s="43"/>
      <c r="F149" s="43"/>
      <c r="G149" s="43"/>
      <c r="H149" s="43"/>
      <c r="I149" s="43"/>
      <c r="J149" s="43"/>
      <c r="K149" s="43"/>
      <c r="L149" s="43"/>
      <c r="M149" s="43"/>
      <c r="N149" s="43"/>
      <c r="O149" s="43"/>
      <c r="P149" s="43"/>
      <c r="Q149" s="43"/>
      <c r="R149" s="18"/>
      <c r="S149" s="18"/>
      <c r="T149" s="18"/>
      <c r="U149" s="18"/>
      <c r="V149" s="18"/>
      <c r="W149" s="18"/>
      <c r="X149" s="18"/>
      <c r="Y149" s="18"/>
      <c r="Z149" s="18"/>
      <c r="AA149" s="18"/>
      <c r="AB149" s="18"/>
      <c r="AC149" s="18"/>
      <c r="AD149" s="18"/>
      <c r="AE149" s="18"/>
      <c r="AF149" s="18"/>
      <c r="AG149" s="18"/>
      <c r="AH149" s="18"/>
      <c r="AI149" s="18"/>
      <c r="AJ149" s="33"/>
    </row>
    <row r="150" spans="2:39" hidden="1" x14ac:dyDescent="0.3">
      <c r="B150" s="31"/>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c r="AA150" s="33"/>
      <c r="AB150" s="33"/>
      <c r="AC150" s="33"/>
      <c r="AD150" s="33"/>
      <c r="AE150" s="33"/>
      <c r="AF150" s="33"/>
      <c r="AG150" s="33"/>
      <c r="AH150" s="33"/>
      <c r="AI150" s="33"/>
      <c r="AJ150" s="33"/>
    </row>
    <row r="151" spans="2:39" ht="65.400000000000006" customHeight="1" x14ac:dyDescent="0.3">
      <c r="B151" s="31"/>
      <c r="C151" s="56" t="s">
        <v>188</v>
      </c>
      <c r="D151" s="56"/>
      <c r="E151" s="56"/>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33"/>
      <c r="AI151" s="33"/>
      <c r="AJ151" s="33"/>
    </row>
    <row r="152" spans="2:39" ht="12" hidden="1" x14ac:dyDescent="0.3">
      <c r="B152" s="3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33"/>
      <c r="AI152" s="33"/>
      <c r="AJ152" s="33"/>
    </row>
    <row r="153" spans="2:39" ht="12" hidden="1" x14ac:dyDescent="0.3">
      <c r="B153" s="31" t="s">
        <v>121</v>
      </c>
      <c r="C153" s="33"/>
      <c r="D153" s="33"/>
      <c r="E153" s="33"/>
      <c r="F153" s="33"/>
      <c r="G153" s="33"/>
      <c r="H153" s="33"/>
      <c r="I153" s="33"/>
      <c r="J153" s="33"/>
      <c r="K153" s="33"/>
      <c r="L153" s="33"/>
      <c r="M153" s="33"/>
      <c r="N153" s="33"/>
      <c r="O153" s="33"/>
      <c r="P153" s="11"/>
      <c r="Q153" s="33"/>
      <c r="R153" s="33"/>
      <c r="S153" s="33"/>
      <c r="T153" s="33"/>
      <c r="U153" s="33"/>
      <c r="V153" s="33"/>
      <c r="W153" s="33"/>
      <c r="X153" s="33"/>
      <c r="Y153" s="33"/>
      <c r="Z153" s="33"/>
      <c r="AA153" s="33"/>
      <c r="AB153" s="33"/>
      <c r="AC153" s="33"/>
      <c r="AD153" s="33"/>
      <c r="AE153" s="33"/>
      <c r="AF153" s="33"/>
      <c r="AG153" s="33"/>
      <c r="AH153" s="33"/>
      <c r="AI153" s="33"/>
      <c r="AJ153" s="33"/>
    </row>
    <row r="154" spans="2:39" ht="15.6" x14ac:dyDescent="0.3">
      <c r="B154" s="37"/>
      <c r="C154" s="43" t="s">
        <v>185</v>
      </c>
      <c r="D154" s="43"/>
      <c r="E154" s="43"/>
      <c r="F154" s="43"/>
      <c r="G154" s="43"/>
      <c r="H154" s="43"/>
      <c r="I154" s="43"/>
      <c r="J154" s="43"/>
      <c r="K154" s="43"/>
      <c r="L154" s="43"/>
      <c r="M154" s="43"/>
      <c r="N154" s="43"/>
      <c r="O154" s="43"/>
      <c r="P154" s="45" t="s">
        <v>121</v>
      </c>
      <c r="Q154" s="45"/>
      <c r="R154" s="45"/>
      <c r="S154" s="45"/>
      <c r="T154" s="45" t="s">
        <v>122</v>
      </c>
      <c r="U154" s="45"/>
      <c r="V154" s="45"/>
      <c r="W154" s="45"/>
      <c r="X154" s="45" t="s">
        <v>123</v>
      </c>
      <c r="Y154" s="45"/>
      <c r="Z154" s="45"/>
      <c r="AA154" s="45"/>
      <c r="AB154" s="45" t="s">
        <v>124</v>
      </c>
      <c r="AC154" s="45"/>
      <c r="AD154" s="45"/>
      <c r="AE154" s="45"/>
      <c r="AF154" s="45" t="s">
        <v>125</v>
      </c>
      <c r="AG154" s="45"/>
      <c r="AH154" s="45"/>
      <c r="AI154" s="45"/>
      <c r="AJ154" s="33"/>
    </row>
    <row r="155" spans="2:39" x14ac:dyDescent="0.3">
      <c r="B155" s="14"/>
      <c r="C155" s="55" t="s">
        <v>126</v>
      </c>
      <c r="D155" s="55"/>
      <c r="E155" s="55"/>
      <c r="F155" s="55"/>
      <c r="G155" s="55"/>
      <c r="H155" s="55"/>
      <c r="I155" s="55"/>
      <c r="J155" s="55"/>
      <c r="K155" s="55"/>
      <c r="L155" s="55"/>
      <c r="M155" s="55"/>
      <c r="N155" s="55"/>
      <c r="O155" s="55"/>
      <c r="P155" s="48">
        <v>0</v>
      </c>
      <c r="Q155" s="48"/>
      <c r="R155" s="48"/>
      <c r="S155" s="48"/>
      <c r="T155" s="48">
        <v>5</v>
      </c>
      <c r="U155" s="48"/>
      <c r="V155" s="48"/>
      <c r="W155" s="48"/>
      <c r="X155" s="48">
        <v>8</v>
      </c>
      <c r="Y155" s="48"/>
      <c r="Z155" s="48"/>
      <c r="AA155" s="48"/>
      <c r="AB155" s="48">
        <v>10</v>
      </c>
      <c r="AC155" s="48"/>
      <c r="AD155" s="48"/>
      <c r="AE155" s="48"/>
      <c r="AF155" s="48">
        <v>15</v>
      </c>
      <c r="AG155" s="48"/>
      <c r="AH155" s="48"/>
      <c r="AI155" s="48"/>
      <c r="AJ155" s="33"/>
      <c r="AM155" s="3">
        <f>IF($B155="Not Applicable", $P155, IF($B155="Limited", $T155, IF($B155="Occasional", $X155, IF($B155="Frequent", $AB155, IF($B155="Continuous", $AF155, 0)))))</f>
        <v>0</v>
      </c>
    </row>
    <row r="156" spans="2:39" x14ac:dyDescent="0.3">
      <c r="B156" s="14"/>
      <c r="C156" s="58" t="s">
        <v>127</v>
      </c>
      <c r="D156" s="58"/>
      <c r="E156" s="58"/>
      <c r="F156" s="58"/>
      <c r="G156" s="58"/>
      <c r="H156" s="58"/>
      <c r="I156" s="58"/>
      <c r="J156" s="58"/>
      <c r="K156" s="58"/>
      <c r="L156" s="58"/>
      <c r="M156" s="58"/>
      <c r="N156" s="58"/>
      <c r="O156" s="58"/>
      <c r="P156" s="54">
        <v>0</v>
      </c>
      <c r="Q156" s="54"/>
      <c r="R156" s="54"/>
      <c r="S156" s="54"/>
      <c r="T156" s="54">
        <v>8</v>
      </c>
      <c r="U156" s="54"/>
      <c r="V156" s="54"/>
      <c r="W156" s="54"/>
      <c r="X156" s="54">
        <v>10</v>
      </c>
      <c r="Y156" s="54"/>
      <c r="Z156" s="54"/>
      <c r="AA156" s="54"/>
      <c r="AB156" s="54">
        <v>15</v>
      </c>
      <c r="AC156" s="54"/>
      <c r="AD156" s="54"/>
      <c r="AE156" s="54"/>
      <c r="AF156" s="54">
        <v>20</v>
      </c>
      <c r="AG156" s="54"/>
      <c r="AH156" s="54"/>
      <c r="AI156" s="54"/>
      <c r="AJ156" s="33"/>
      <c r="AM156" s="3">
        <f>IF($B156="Not Applicable", $P156, IF($B156="Limited", $T156, IF($B156="Occasional", $X156, IF($B156="Frequent", $AB156, IF($B156="Continuous", $AF156, 0)))))</f>
        <v>0</v>
      </c>
    </row>
    <row r="157" spans="2:39" x14ac:dyDescent="0.3">
      <c r="B157" s="14"/>
      <c r="C157" s="55" t="s">
        <v>128</v>
      </c>
      <c r="D157" s="55"/>
      <c r="E157" s="55"/>
      <c r="F157" s="55"/>
      <c r="G157" s="55"/>
      <c r="H157" s="55"/>
      <c r="I157" s="55"/>
      <c r="J157" s="55"/>
      <c r="K157" s="55"/>
      <c r="L157" s="55"/>
      <c r="M157" s="55"/>
      <c r="N157" s="55"/>
      <c r="O157" s="55"/>
      <c r="P157" s="48">
        <v>0</v>
      </c>
      <c r="Q157" s="48"/>
      <c r="R157" s="48"/>
      <c r="S157" s="48"/>
      <c r="T157" s="48">
        <v>10</v>
      </c>
      <c r="U157" s="48"/>
      <c r="V157" s="48"/>
      <c r="W157" s="48"/>
      <c r="X157" s="48">
        <v>15</v>
      </c>
      <c r="Y157" s="48"/>
      <c r="Z157" s="48"/>
      <c r="AA157" s="48"/>
      <c r="AB157" s="48">
        <v>25</v>
      </c>
      <c r="AC157" s="48"/>
      <c r="AD157" s="48"/>
      <c r="AE157" s="48"/>
      <c r="AF157" s="48">
        <v>40</v>
      </c>
      <c r="AG157" s="48"/>
      <c r="AH157" s="48"/>
      <c r="AI157" s="48"/>
      <c r="AJ157" s="33"/>
      <c r="AM157" s="3">
        <f>IF($B157="Not Applicable", $P157, IF($B157="Limited", $T157, IF($B157="Occasional", $X157, IF($B157="Frequent", $AB157, IF($B157="Continuous", $AF157, 0)))))</f>
        <v>0</v>
      </c>
    </row>
    <row r="158" spans="2:39" x14ac:dyDescent="0.3">
      <c r="B158" s="14"/>
      <c r="C158" s="58" t="s">
        <v>129</v>
      </c>
      <c r="D158" s="58"/>
      <c r="E158" s="58"/>
      <c r="F158" s="58"/>
      <c r="G158" s="58"/>
      <c r="H158" s="58"/>
      <c r="I158" s="58"/>
      <c r="J158" s="58"/>
      <c r="K158" s="58"/>
      <c r="L158" s="58"/>
      <c r="M158" s="58"/>
      <c r="N158" s="58"/>
      <c r="O158" s="58"/>
      <c r="P158" s="54">
        <v>0</v>
      </c>
      <c r="Q158" s="54"/>
      <c r="R158" s="54"/>
      <c r="S158" s="54"/>
      <c r="T158" s="54">
        <v>5</v>
      </c>
      <c r="U158" s="54"/>
      <c r="V158" s="54"/>
      <c r="W158" s="54"/>
      <c r="X158" s="54">
        <v>10</v>
      </c>
      <c r="Y158" s="54"/>
      <c r="Z158" s="54"/>
      <c r="AA158" s="54"/>
      <c r="AB158" s="54">
        <v>20</v>
      </c>
      <c r="AC158" s="54"/>
      <c r="AD158" s="54"/>
      <c r="AE158" s="54"/>
      <c r="AF158" s="54">
        <v>30</v>
      </c>
      <c r="AG158" s="54"/>
      <c r="AH158" s="54"/>
      <c r="AI158" s="54"/>
      <c r="AJ158" s="33"/>
      <c r="AM158" s="3">
        <f>IF($B158="Not Applicable", $P158, IF($B158="Limited", $T158, IF($B158="Occasional", $X158, IF($B158="Frequent", $AB158, IF($B158="Continuous", $AF158, 0)))))</f>
        <v>0</v>
      </c>
    </row>
    <row r="159" spans="2:39" x14ac:dyDescent="0.3">
      <c r="B159" s="14"/>
      <c r="C159" s="55" t="s">
        <v>130</v>
      </c>
      <c r="D159" s="55"/>
      <c r="E159" s="55"/>
      <c r="F159" s="55"/>
      <c r="G159" s="55"/>
      <c r="H159" s="55"/>
      <c r="I159" s="55"/>
      <c r="J159" s="55"/>
      <c r="K159" s="55"/>
      <c r="L159" s="55"/>
      <c r="M159" s="55"/>
      <c r="N159" s="55"/>
      <c r="O159" s="55"/>
      <c r="P159" s="48">
        <v>0</v>
      </c>
      <c r="Q159" s="48"/>
      <c r="R159" s="48"/>
      <c r="S159" s="48"/>
      <c r="T159" s="48">
        <v>5</v>
      </c>
      <c r="U159" s="48"/>
      <c r="V159" s="48"/>
      <c r="W159" s="48"/>
      <c r="X159" s="48">
        <v>8</v>
      </c>
      <c r="Y159" s="48"/>
      <c r="Z159" s="48"/>
      <c r="AA159" s="48"/>
      <c r="AB159" s="48">
        <v>15</v>
      </c>
      <c r="AC159" s="48"/>
      <c r="AD159" s="48"/>
      <c r="AE159" s="48"/>
      <c r="AF159" s="48">
        <v>20</v>
      </c>
      <c r="AG159" s="48"/>
      <c r="AH159" s="48"/>
      <c r="AI159" s="48"/>
      <c r="AJ159" s="33"/>
      <c r="AM159" s="3">
        <f>IF($B159="Not Applicable", $P159, IF($B159="Limited", $T159, IF($B159="Occasional", $X159, IF($B159="Frequent", $AB159, IF($B159="Continuous", $AF159, 0)))))</f>
        <v>0</v>
      </c>
    </row>
    <row r="160" spans="2:39" x14ac:dyDescent="0.3">
      <c r="B160" s="31"/>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c r="AA160" s="33"/>
      <c r="AB160" s="33"/>
      <c r="AC160" s="33"/>
      <c r="AD160" s="33"/>
      <c r="AE160" s="33"/>
      <c r="AF160" s="33"/>
      <c r="AG160" s="33"/>
      <c r="AH160" s="33"/>
      <c r="AI160" s="33"/>
      <c r="AJ160" s="33"/>
      <c r="AM160" s="15">
        <f>SUM(AM155:AM159)</f>
        <v>0</v>
      </c>
    </row>
    <row r="161" spans="2:39" hidden="1" x14ac:dyDescent="0.3">
      <c r="B161" s="31"/>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c r="AA161" s="33"/>
      <c r="AB161" s="33"/>
      <c r="AC161" s="33"/>
      <c r="AD161" s="33"/>
      <c r="AE161" s="33"/>
      <c r="AF161" s="33"/>
      <c r="AG161" s="33"/>
      <c r="AH161" s="33"/>
      <c r="AI161" s="33"/>
      <c r="AJ161" s="33"/>
    </row>
    <row r="162" spans="2:39" x14ac:dyDescent="0.3">
      <c r="B162" s="31"/>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c r="AA162" s="33"/>
      <c r="AB162" s="33"/>
      <c r="AC162" s="33"/>
      <c r="AD162" s="33"/>
      <c r="AE162" s="33"/>
      <c r="AF162" s="33"/>
      <c r="AG162" s="33"/>
      <c r="AH162" s="33"/>
      <c r="AI162" s="33"/>
      <c r="AJ162" s="33"/>
    </row>
    <row r="163" spans="2:39" ht="15.6" x14ac:dyDescent="0.3">
      <c r="B163" s="30"/>
      <c r="C163" s="43" t="s">
        <v>131</v>
      </c>
      <c r="D163" s="43"/>
      <c r="E163" s="43"/>
      <c r="F163" s="43"/>
      <c r="G163" s="43"/>
      <c r="H163" s="43"/>
      <c r="I163" s="43"/>
      <c r="J163" s="43"/>
      <c r="K163" s="43"/>
      <c r="L163" s="43"/>
      <c r="M163" s="43"/>
      <c r="N163" s="43"/>
      <c r="O163" s="43"/>
      <c r="P163" s="43"/>
      <c r="Q163" s="43"/>
      <c r="R163" s="18"/>
      <c r="S163" s="18"/>
      <c r="T163" s="18"/>
      <c r="U163" s="18"/>
      <c r="V163" s="18"/>
      <c r="W163" s="18"/>
      <c r="X163" s="18"/>
      <c r="Y163" s="18"/>
      <c r="Z163" s="18"/>
      <c r="AA163" s="18"/>
      <c r="AB163" s="18"/>
      <c r="AC163" s="18"/>
      <c r="AD163" s="18"/>
      <c r="AE163" s="18"/>
      <c r="AF163" s="18"/>
      <c r="AG163" s="18"/>
      <c r="AH163" s="33"/>
      <c r="AI163" s="33"/>
      <c r="AJ163" s="33"/>
    </row>
    <row r="164" spans="2:39" hidden="1" x14ac:dyDescent="0.3">
      <c r="B164" s="31"/>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c r="AA164" s="33"/>
      <c r="AB164" s="33"/>
      <c r="AC164" s="33"/>
      <c r="AD164" s="33"/>
      <c r="AE164" s="33"/>
      <c r="AF164" s="33"/>
      <c r="AG164" s="33"/>
      <c r="AH164" s="33"/>
      <c r="AI164" s="33"/>
      <c r="AJ164" s="33"/>
    </row>
    <row r="165" spans="2:39" ht="13.8" x14ac:dyDescent="0.3">
      <c r="B165" s="31"/>
      <c r="C165" s="56" t="s">
        <v>132</v>
      </c>
      <c r="D165" s="56"/>
      <c r="E165" s="56"/>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33"/>
      <c r="AI165" s="33"/>
      <c r="AJ165" s="33"/>
    </row>
    <row r="166" spans="2:39" hidden="1" x14ac:dyDescent="0.3">
      <c r="B166" s="31"/>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c r="AA166" s="33"/>
      <c r="AB166" s="33"/>
      <c r="AC166" s="33"/>
      <c r="AD166" s="33"/>
      <c r="AE166" s="33"/>
      <c r="AF166" s="33"/>
      <c r="AG166" s="33"/>
      <c r="AH166" s="33"/>
      <c r="AI166" s="33"/>
      <c r="AJ166" s="33"/>
    </row>
    <row r="167" spans="2:39" ht="15.6" x14ac:dyDescent="0.3">
      <c r="B167" s="34"/>
      <c r="C167" s="43" t="s">
        <v>133</v>
      </c>
      <c r="D167" s="43"/>
      <c r="E167" s="43"/>
      <c r="F167" s="43"/>
      <c r="G167" s="43"/>
      <c r="H167" s="43"/>
      <c r="I167" s="43"/>
      <c r="J167" s="43"/>
      <c r="K167" s="43"/>
      <c r="L167" s="43"/>
      <c r="M167" s="43"/>
      <c r="N167" s="43"/>
      <c r="O167" s="43"/>
      <c r="P167" s="17"/>
      <c r="Q167" s="17"/>
      <c r="R167" s="17"/>
      <c r="S167" s="17"/>
      <c r="T167" s="17"/>
      <c r="U167" s="17"/>
      <c r="V167" s="17"/>
      <c r="W167" s="17"/>
      <c r="X167" s="17"/>
      <c r="Y167" s="17"/>
      <c r="Z167" s="17"/>
      <c r="AA167" s="17"/>
      <c r="AB167" s="17"/>
      <c r="AC167" s="17"/>
      <c r="AD167" s="17"/>
      <c r="AE167" s="17"/>
      <c r="AF167" s="45" t="s">
        <v>15</v>
      </c>
      <c r="AG167" s="45"/>
      <c r="AH167" s="45"/>
      <c r="AI167" s="45"/>
      <c r="AJ167" s="33"/>
    </row>
    <row r="168" spans="2:39" ht="12" x14ac:dyDescent="0.3">
      <c r="B168" s="14"/>
      <c r="C168" s="65" t="s">
        <v>134</v>
      </c>
      <c r="D168" s="66"/>
      <c r="E168" s="66"/>
      <c r="F168" s="66"/>
      <c r="G168" s="66"/>
      <c r="H168" s="66"/>
      <c r="I168" s="66"/>
      <c r="J168" s="66"/>
      <c r="K168" s="66"/>
      <c r="L168" s="66"/>
      <c r="M168" s="66"/>
      <c r="N168" s="66"/>
      <c r="O168" s="66"/>
      <c r="P168" s="66"/>
      <c r="Q168" s="66"/>
      <c r="R168" s="66"/>
      <c r="S168" s="66"/>
      <c r="T168" s="66"/>
      <c r="U168" s="66"/>
      <c r="V168" s="66"/>
      <c r="W168" s="66"/>
      <c r="X168" s="66"/>
      <c r="Y168" s="66"/>
      <c r="Z168" s="16"/>
      <c r="AA168" s="16"/>
      <c r="AB168" s="16"/>
      <c r="AC168" s="16"/>
      <c r="AD168" s="16"/>
      <c r="AE168" s="16"/>
      <c r="AF168" s="67">
        <v>0</v>
      </c>
      <c r="AG168" s="67"/>
      <c r="AH168" s="67"/>
      <c r="AI168" s="67"/>
      <c r="AJ168" s="33"/>
      <c r="AM168" s="3">
        <f>IF($B168="X",$AF168,0)</f>
        <v>0</v>
      </c>
    </row>
    <row r="169" spans="2:39" ht="27" customHeight="1" x14ac:dyDescent="0.3">
      <c r="B169" s="14"/>
      <c r="C169" s="52" t="s">
        <v>135</v>
      </c>
      <c r="D169" s="52"/>
      <c r="E169" s="52"/>
      <c r="F169" s="52"/>
      <c r="G169" s="52"/>
      <c r="H169" s="52"/>
      <c r="I169" s="52"/>
      <c r="J169" s="52"/>
      <c r="K169" s="52"/>
      <c r="L169" s="52"/>
      <c r="M169" s="52"/>
      <c r="N169" s="52"/>
      <c r="O169" s="52"/>
      <c r="P169" s="52"/>
      <c r="Q169" s="52"/>
      <c r="R169" s="52"/>
      <c r="S169" s="52"/>
      <c r="T169" s="52"/>
      <c r="U169" s="52"/>
      <c r="V169" s="52"/>
      <c r="W169" s="52"/>
      <c r="X169" s="52"/>
      <c r="Y169" s="52"/>
      <c r="Z169" s="68"/>
      <c r="AA169" s="68"/>
      <c r="AB169" s="68"/>
      <c r="AC169" s="68"/>
      <c r="AD169" s="22"/>
      <c r="AE169" s="22"/>
      <c r="AF169" s="54">
        <v>3</v>
      </c>
      <c r="AG169" s="54"/>
      <c r="AH169" s="54"/>
      <c r="AI169" s="54"/>
      <c r="AJ169" s="33"/>
      <c r="AM169" s="3">
        <f>IF($B169="X",$AF169,0)</f>
        <v>0</v>
      </c>
    </row>
    <row r="170" spans="2:39" ht="12" customHeight="1" x14ac:dyDescent="0.3">
      <c r="B170" s="14"/>
      <c r="C170" s="69" t="s">
        <v>136</v>
      </c>
      <c r="D170" s="69"/>
      <c r="E170" s="69"/>
      <c r="F170" s="69"/>
      <c r="G170" s="69"/>
      <c r="H170" s="69"/>
      <c r="I170" s="69"/>
      <c r="J170" s="69"/>
      <c r="K170" s="69"/>
      <c r="L170" s="69"/>
      <c r="M170" s="69"/>
      <c r="N170" s="69"/>
      <c r="O170" s="69"/>
      <c r="P170" s="69"/>
      <c r="Q170" s="69"/>
      <c r="R170" s="69"/>
      <c r="S170" s="69"/>
      <c r="T170" s="69"/>
      <c r="U170" s="69"/>
      <c r="V170" s="69"/>
      <c r="W170" s="69"/>
      <c r="X170" s="69"/>
      <c r="Y170" s="69"/>
      <c r="Z170" s="16"/>
      <c r="AA170" s="16"/>
      <c r="AB170" s="16"/>
      <c r="AC170" s="16"/>
      <c r="AD170" s="16"/>
      <c r="AE170" s="16"/>
      <c r="AF170" s="67">
        <v>5</v>
      </c>
      <c r="AG170" s="67"/>
      <c r="AH170" s="67"/>
      <c r="AI170" s="67"/>
      <c r="AJ170" s="33"/>
      <c r="AM170" s="3">
        <f>IF($B170="X",$AF170,0)</f>
        <v>0</v>
      </c>
    </row>
    <row r="171" spans="2:39" ht="12" customHeight="1" x14ac:dyDescent="0.3">
      <c r="B171" s="14"/>
      <c r="C171" s="70" t="s">
        <v>137</v>
      </c>
      <c r="D171" s="70"/>
      <c r="E171" s="70"/>
      <c r="F171" s="70"/>
      <c r="G171" s="70"/>
      <c r="H171" s="70"/>
      <c r="I171" s="70"/>
      <c r="J171" s="70"/>
      <c r="K171" s="70"/>
      <c r="L171" s="70"/>
      <c r="M171" s="70"/>
      <c r="N171" s="70"/>
      <c r="O171" s="70"/>
      <c r="P171" s="70"/>
      <c r="Q171" s="70"/>
      <c r="R171" s="70"/>
      <c r="S171" s="70"/>
      <c r="T171" s="70"/>
      <c r="U171" s="70"/>
      <c r="V171" s="70"/>
      <c r="W171" s="70"/>
      <c r="X171" s="70"/>
      <c r="Y171" s="70"/>
      <c r="Z171" s="23"/>
      <c r="AA171" s="23"/>
      <c r="AB171" s="23"/>
      <c r="AC171" s="23"/>
      <c r="AD171" s="23"/>
      <c r="AE171" s="23"/>
      <c r="AF171" s="71">
        <v>10</v>
      </c>
      <c r="AG171" s="71"/>
      <c r="AH171" s="71"/>
      <c r="AI171" s="71"/>
      <c r="AJ171" s="33"/>
      <c r="AM171" s="3">
        <f>IF($B171="X",$AF171,0)</f>
        <v>0</v>
      </c>
    </row>
    <row r="172" spans="2:39" ht="27" customHeight="1" x14ac:dyDescent="0.3">
      <c r="B172" s="14"/>
      <c r="C172" s="46" t="s">
        <v>138</v>
      </c>
      <c r="D172" s="46"/>
      <c r="E172" s="46"/>
      <c r="F172" s="46"/>
      <c r="G172" s="46"/>
      <c r="H172" s="46"/>
      <c r="I172" s="46"/>
      <c r="J172" s="46"/>
      <c r="K172" s="46"/>
      <c r="L172" s="46"/>
      <c r="M172" s="46"/>
      <c r="N172" s="46"/>
      <c r="O172" s="46"/>
      <c r="P172" s="46"/>
      <c r="Q172" s="46"/>
      <c r="R172" s="46"/>
      <c r="S172" s="46"/>
      <c r="T172" s="46"/>
      <c r="U172" s="46"/>
      <c r="V172" s="46"/>
      <c r="W172" s="46"/>
      <c r="X172" s="46"/>
      <c r="Y172" s="46"/>
      <c r="Z172" s="47"/>
      <c r="AA172" s="47"/>
      <c r="AB172" s="47"/>
      <c r="AC172" s="47"/>
      <c r="AD172" s="24"/>
      <c r="AE172" s="24"/>
      <c r="AF172" s="48">
        <v>20</v>
      </c>
      <c r="AG172" s="48"/>
      <c r="AH172" s="48"/>
      <c r="AI172" s="48"/>
      <c r="AJ172" s="33"/>
      <c r="AM172" s="3">
        <f>IF($B172="X",$AF172,0)</f>
        <v>0</v>
      </c>
    </row>
    <row r="173" spans="2:39" x14ac:dyDescent="0.3">
      <c r="B173" s="31"/>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c r="AA173" s="33"/>
      <c r="AB173" s="33"/>
      <c r="AC173" s="33"/>
      <c r="AD173" s="33"/>
      <c r="AE173" s="33"/>
      <c r="AF173" s="33"/>
      <c r="AG173" s="33"/>
      <c r="AH173" s="33"/>
      <c r="AI173" s="33"/>
      <c r="AJ173" s="33"/>
      <c r="AM173" s="15">
        <f>SUM(AM168:AM172)</f>
        <v>0</v>
      </c>
    </row>
    <row r="174" spans="2:39" hidden="1" x14ac:dyDescent="0.3">
      <c r="B174" s="31"/>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c r="AA174" s="33"/>
      <c r="AB174" s="33"/>
      <c r="AC174" s="33"/>
      <c r="AD174" s="33"/>
      <c r="AE174" s="33"/>
      <c r="AF174" s="33"/>
      <c r="AG174" s="33"/>
      <c r="AH174" s="33"/>
      <c r="AI174" s="33"/>
      <c r="AJ174" s="33"/>
    </row>
    <row r="175" spans="2:39" x14ac:dyDescent="0.3">
      <c r="B175" s="31"/>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c r="AA175" s="33"/>
      <c r="AB175" s="33"/>
      <c r="AC175" s="33"/>
      <c r="AD175" s="33"/>
      <c r="AE175" s="33"/>
      <c r="AF175" s="33"/>
      <c r="AG175" s="33"/>
      <c r="AH175" s="33"/>
      <c r="AI175" s="33"/>
      <c r="AJ175" s="33"/>
    </row>
    <row r="176" spans="2:39" ht="15.6" x14ac:dyDescent="0.3">
      <c r="B176" s="30"/>
      <c r="C176" s="43" t="s">
        <v>139</v>
      </c>
      <c r="D176" s="43"/>
      <c r="E176" s="43"/>
      <c r="F176" s="43"/>
      <c r="G176" s="43"/>
      <c r="H176" s="43"/>
      <c r="I176" s="43"/>
      <c r="J176" s="43"/>
      <c r="K176" s="43"/>
      <c r="L176" s="43"/>
      <c r="M176" s="43"/>
      <c r="N176" s="43"/>
      <c r="O176" s="43"/>
      <c r="P176" s="43"/>
      <c r="Q176" s="43"/>
      <c r="R176" s="18"/>
      <c r="S176" s="18"/>
      <c r="T176" s="18"/>
      <c r="U176" s="18"/>
      <c r="V176" s="18"/>
      <c r="W176" s="18"/>
      <c r="X176" s="18"/>
      <c r="Y176" s="18"/>
      <c r="Z176" s="18"/>
      <c r="AA176" s="18"/>
      <c r="AB176" s="18"/>
      <c r="AC176" s="18"/>
      <c r="AD176" s="18"/>
      <c r="AE176" s="18"/>
      <c r="AF176" s="18"/>
      <c r="AG176" s="18"/>
      <c r="AH176" s="33"/>
      <c r="AI176" s="33"/>
      <c r="AJ176" s="33"/>
    </row>
    <row r="177" spans="2:39" hidden="1" x14ac:dyDescent="0.3">
      <c r="B177" s="31"/>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c r="AA177" s="33"/>
      <c r="AB177" s="33"/>
      <c r="AC177" s="33"/>
      <c r="AD177" s="33"/>
      <c r="AE177" s="33"/>
      <c r="AF177" s="33"/>
      <c r="AG177" s="33"/>
      <c r="AH177" s="33"/>
      <c r="AI177" s="33"/>
      <c r="AJ177" s="33"/>
    </row>
    <row r="178" spans="2:39" ht="13.8" x14ac:dyDescent="0.3">
      <c r="B178" s="31"/>
      <c r="C178" s="56" t="s">
        <v>140</v>
      </c>
      <c r="D178" s="56"/>
      <c r="E178" s="56"/>
      <c r="F178" s="56"/>
      <c r="G178" s="56"/>
      <c r="H178" s="56"/>
      <c r="I178" s="56"/>
      <c r="J178" s="56"/>
      <c r="K178" s="56"/>
      <c r="L178" s="56"/>
      <c r="M178" s="56"/>
      <c r="N178" s="56"/>
      <c r="O178" s="56"/>
      <c r="P178" s="56"/>
      <c r="Q178" s="56"/>
      <c r="R178" s="56"/>
      <c r="S178" s="56"/>
      <c r="T178" s="56"/>
      <c r="U178" s="56"/>
      <c r="V178" s="56"/>
      <c r="W178" s="56"/>
      <c r="X178" s="56"/>
      <c r="Y178" s="56"/>
      <c r="Z178" s="56"/>
      <c r="AA178" s="56"/>
      <c r="AB178" s="56"/>
      <c r="AC178" s="56"/>
      <c r="AD178" s="56"/>
      <c r="AE178" s="56"/>
      <c r="AF178" s="56"/>
      <c r="AG178" s="56"/>
      <c r="AH178" s="33"/>
      <c r="AI178" s="33"/>
      <c r="AJ178" s="33"/>
    </row>
    <row r="179" spans="2:39" hidden="1" x14ac:dyDescent="0.3">
      <c r="B179" s="31"/>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c r="AA179" s="33"/>
      <c r="AB179" s="33"/>
      <c r="AC179" s="33"/>
      <c r="AD179" s="33"/>
      <c r="AE179" s="33"/>
      <c r="AF179" s="33"/>
      <c r="AG179" s="33"/>
      <c r="AH179" s="33"/>
      <c r="AI179" s="33"/>
      <c r="AJ179" s="33"/>
    </row>
    <row r="180" spans="2:39" ht="15.6" x14ac:dyDescent="0.3">
      <c r="B180" s="34"/>
      <c r="C180" s="43" t="s">
        <v>141</v>
      </c>
      <c r="D180" s="43"/>
      <c r="E180" s="43"/>
      <c r="F180" s="43"/>
      <c r="G180" s="43"/>
      <c r="H180" s="43"/>
      <c r="I180" s="43"/>
      <c r="J180" s="43"/>
      <c r="K180" s="43"/>
      <c r="L180" s="43"/>
      <c r="M180" s="43"/>
      <c r="N180" s="43"/>
      <c r="O180" s="43"/>
      <c r="P180" s="17"/>
      <c r="Q180" s="17"/>
      <c r="R180" s="17"/>
      <c r="S180" s="17"/>
      <c r="T180" s="17"/>
      <c r="U180" s="17"/>
      <c r="V180" s="17"/>
      <c r="W180" s="17"/>
      <c r="X180" s="17"/>
      <c r="Y180" s="17"/>
      <c r="Z180" s="17"/>
      <c r="AA180" s="17"/>
      <c r="AB180" s="17"/>
      <c r="AC180" s="17"/>
      <c r="AD180" s="17"/>
      <c r="AE180" s="17"/>
      <c r="AF180" s="45" t="s">
        <v>15</v>
      </c>
      <c r="AG180" s="45"/>
      <c r="AH180" s="45"/>
      <c r="AI180" s="45"/>
      <c r="AJ180" s="33"/>
    </row>
    <row r="181" spans="2:39" ht="12" x14ac:dyDescent="0.3">
      <c r="B181" s="14"/>
      <c r="C181" s="65" t="s">
        <v>142</v>
      </c>
      <c r="D181" s="66"/>
      <c r="E181" s="66"/>
      <c r="F181" s="66"/>
      <c r="G181" s="66"/>
      <c r="H181" s="66"/>
      <c r="I181" s="66"/>
      <c r="J181" s="66"/>
      <c r="K181" s="66"/>
      <c r="L181" s="66"/>
      <c r="M181" s="66"/>
      <c r="N181" s="66"/>
      <c r="O181" s="66"/>
      <c r="P181" s="66"/>
      <c r="Q181" s="66"/>
      <c r="R181" s="66"/>
      <c r="S181" s="66"/>
      <c r="T181" s="66"/>
      <c r="U181" s="66"/>
      <c r="V181" s="66"/>
      <c r="W181" s="66"/>
      <c r="X181" s="66"/>
      <c r="Y181" s="66"/>
      <c r="Z181" s="16"/>
      <c r="AA181" s="16"/>
      <c r="AB181" s="16"/>
      <c r="AC181" s="16"/>
      <c r="AD181" s="16"/>
      <c r="AE181" s="16"/>
      <c r="AF181" s="48">
        <v>0</v>
      </c>
      <c r="AG181" s="48"/>
      <c r="AH181" s="48"/>
      <c r="AI181" s="48"/>
      <c r="AJ181" s="33"/>
      <c r="AM181" s="3">
        <f>IF($B181="X",$AF181,0)</f>
        <v>0</v>
      </c>
    </row>
    <row r="182" spans="2:39" ht="12" x14ac:dyDescent="0.3">
      <c r="B182" s="14"/>
      <c r="C182" s="70" t="s">
        <v>143</v>
      </c>
      <c r="D182" s="70"/>
      <c r="E182" s="70"/>
      <c r="F182" s="70"/>
      <c r="G182" s="70"/>
      <c r="H182" s="70"/>
      <c r="I182" s="70"/>
      <c r="J182" s="70"/>
      <c r="K182" s="70"/>
      <c r="L182" s="70"/>
      <c r="M182" s="70"/>
      <c r="N182" s="70"/>
      <c r="O182" s="70"/>
      <c r="P182" s="70"/>
      <c r="Q182" s="70"/>
      <c r="R182" s="70"/>
      <c r="S182" s="70"/>
      <c r="T182" s="70"/>
      <c r="U182" s="70"/>
      <c r="V182" s="70"/>
      <c r="W182" s="70"/>
      <c r="X182" s="70"/>
      <c r="Y182" s="70"/>
      <c r="Z182" s="23"/>
      <c r="AA182" s="23"/>
      <c r="AB182" s="23"/>
      <c r="AC182" s="23"/>
      <c r="AD182" s="23"/>
      <c r="AE182" s="23"/>
      <c r="AF182" s="54">
        <v>5</v>
      </c>
      <c r="AG182" s="54"/>
      <c r="AH182" s="54"/>
      <c r="AI182" s="54"/>
      <c r="AJ182" s="33"/>
      <c r="AM182" s="3">
        <f>IF($B182="X",$AF182,0)</f>
        <v>0</v>
      </c>
    </row>
    <row r="183" spans="2:39" ht="12" x14ac:dyDescent="0.3">
      <c r="B183" s="14"/>
      <c r="C183" s="69" t="s">
        <v>144</v>
      </c>
      <c r="D183" s="69"/>
      <c r="E183" s="69"/>
      <c r="F183" s="69"/>
      <c r="G183" s="69"/>
      <c r="H183" s="69"/>
      <c r="I183" s="69"/>
      <c r="J183" s="69"/>
      <c r="K183" s="69"/>
      <c r="L183" s="69"/>
      <c r="M183" s="69"/>
      <c r="N183" s="69"/>
      <c r="O183" s="69"/>
      <c r="P183" s="69"/>
      <c r="Q183" s="69"/>
      <c r="R183" s="69"/>
      <c r="S183" s="69"/>
      <c r="T183" s="69"/>
      <c r="U183" s="69"/>
      <c r="V183" s="69"/>
      <c r="W183" s="69"/>
      <c r="X183" s="69"/>
      <c r="Y183" s="69"/>
      <c r="Z183" s="16"/>
      <c r="AA183" s="16"/>
      <c r="AB183" s="16"/>
      <c r="AC183" s="16"/>
      <c r="AD183" s="16"/>
      <c r="AE183" s="16"/>
      <c r="AF183" s="48">
        <v>10</v>
      </c>
      <c r="AG183" s="48"/>
      <c r="AH183" s="48"/>
      <c r="AI183" s="48"/>
      <c r="AJ183" s="33"/>
      <c r="AM183" s="3">
        <f>IF($B183="X",$AF183,0)</f>
        <v>0</v>
      </c>
    </row>
    <row r="184" spans="2:39" ht="12" customHeight="1" x14ac:dyDescent="0.3">
      <c r="B184" s="14"/>
      <c r="C184" s="72" t="s">
        <v>145</v>
      </c>
      <c r="D184" s="70"/>
      <c r="E184" s="70"/>
      <c r="F184" s="70"/>
      <c r="G184" s="70"/>
      <c r="H184" s="70"/>
      <c r="I184" s="70"/>
      <c r="J184" s="70"/>
      <c r="K184" s="70"/>
      <c r="L184" s="70"/>
      <c r="M184" s="70"/>
      <c r="N184" s="70"/>
      <c r="O184" s="70"/>
      <c r="P184" s="70"/>
      <c r="Q184" s="70"/>
      <c r="R184" s="70"/>
      <c r="S184" s="70"/>
      <c r="T184" s="70"/>
      <c r="U184" s="70"/>
      <c r="V184" s="70"/>
      <c r="W184" s="70"/>
      <c r="X184" s="70"/>
      <c r="Y184" s="70"/>
      <c r="Z184" s="23"/>
      <c r="AA184" s="23"/>
      <c r="AB184" s="23"/>
      <c r="AC184" s="23"/>
      <c r="AD184" s="23"/>
      <c r="AE184" s="23"/>
      <c r="AF184" s="54">
        <v>15</v>
      </c>
      <c r="AG184" s="54"/>
      <c r="AH184" s="54"/>
      <c r="AI184" s="54"/>
      <c r="AJ184" s="33"/>
      <c r="AM184" s="3">
        <f>IF($B184="X",$AF184,0)</f>
        <v>0</v>
      </c>
    </row>
    <row r="185" spans="2:39" ht="12" customHeight="1" x14ac:dyDescent="0.3">
      <c r="B185" s="14"/>
      <c r="C185" s="73" t="s">
        <v>146</v>
      </c>
      <c r="D185" s="69"/>
      <c r="E185" s="69"/>
      <c r="F185" s="69"/>
      <c r="G185" s="69"/>
      <c r="H185" s="69"/>
      <c r="I185" s="69"/>
      <c r="J185" s="69"/>
      <c r="K185" s="69"/>
      <c r="L185" s="69"/>
      <c r="M185" s="69"/>
      <c r="N185" s="69"/>
      <c r="O185" s="69"/>
      <c r="P185" s="69"/>
      <c r="Q185" s="69"/>
      <c r="R185" s="69"/>
      <c r="S185" s="69"/>
      <c r="T185" s="69"/>
      <c r="U185" s="69"/>
      <c r="V185" s="69"/>
      <c r="W185" s="69"/>
      <c r="X185" s="69"/>
      <c r="Y185" s="69"/>
      <c r="Z185" s="16"/>
      <c r="AA185" s="16"/>
      <c r="AB185" s="16"/>
      <c r="AC185" s="16"/>
      <c r="AD185" s="16"/>
      <c r="AE185" s="16"/>
      <c r="AF185" s="48">
        <v>20</v>
      </c>
      <c r="AG185" s="48"/>
      <c r="AH185" s="48"/>
      <c r="AI185" s="48"/>
      <c r="AJ185" s="33"/>
      <c r="AM185" s="3">
        <f>IF($B185="X",$AF185,0)</f>
        <v>0</v>
      </c>
    </row>
    <row r="186" spans="2:39" x14ac:dyDescent="0.3">
      <c r="B186" s="31"/>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c r="AA186" s="33"/>
      <c r="AB186" s="33"/>
      <c r="AC186" s="33"/>
      <c r="AD186" s="33"/>
      <c r="AE186" s="33"/>
      <c r="AF186" s="33"/>
      <c r="AG186" s="33"/>
      <c r="AH186" s="33"/>
      <c r="AI186" s="33"/>
      <c r="AJ186" s="33"/>
      <c r="AM186" s="15">
        <f>SUM(AM181:AM185)</f>
        <v>0</v>
      </c>
    </row>
    <row r="187" spans="2:39" hidden="1" x14ac:dyDescent="0.3">
      <c r="B187" s="31"/>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c r="AA187" s="33"/>
      <c r="AB187" s="33"/>
      <c r="AC187" s="33"/>
      <c r="AD187" s="33"/>
      <c r="AE187" s="33"/>
      <c r="AF187" s="33"/>
      <c r="AG187" s="33"/>
      <c r="AH187" s="33"/>
      <c r="AI187" s="33"/>
      <c r="AJ187" s="33"/>
    </row>
    <row r="188" spans="2:39" x14ac:dyDescent="0.3">
      <c r="B188" s="31"/>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c r="AA188" s="33"/>
      <c r="AB188" s="33"/>
      <c r="AC188" s="33"/>
      <c r="AD188" s="33"/>
      <c r="AE188" s="33"/>
      <c r="AF188" s="33"/>
      <c r="AG188" s="33"/>
      <c r="AH188" s="33"/>
      <c r="AI188" s="33"/>
      <c r="AJ188" s="33"/>
    </row>
    <row r="189" spans="2:39" ht="15.6" x14ac:dyDescent="0.3">
      <c r="B189" s="30"/>
      <c r="C189" s="43" t="s">
        <v>147</v>
      </c>
      <c r="D189" s="43"/>
      <c r="E189" s="43"/>
      <c r="F189" s="43"/>
      <c r="G189" s="43"/>
      <c r="H189" s="43"/>
      <c r="I189" s="43"/>
      <c r="J189" s="43"/>
      <c r="K189" s="43"/>
      <c r="L189" s="43"/>
      <c r="M189" s="43"/>
      <c r="N189" s="43"/>
      <c r="O189" s="43"/>
      <c r="P189" s="43"/>
      <c r="Q189" s="43"/>
      <c r="R189" s="25"/>
      <c r="S189" s="25"/>
      <c r="T189" s="25"/>
      <c r="U189" s="25"/>
      <c r="V189" s="25"/>
      <c r="W189" s="25"/>
      <c r="X189" s="25"/>
      <c r="Y189" s="25"/>
      <c r="Z189" s="25"/>
      <c r="AA189" s="25"/>
      <c r="AB189" s="25"/>
      <c r="AC189" s="25"/>
      <c r="AD189" s="25"/>
      <c r="AE189" s="25"/>
      <c r="AF189" s="25"/>
      <c r="AG189" s="25"/>
      <c r="AH189" s="33"/>
      <c r="AI189" s="33"/>
      <c r="AJ189" s="33"/>
    </row>
    <row r="190" spans="2:39" hidden="1" x14ac:dyDescent="0.3">
      <c r="B190" s="31"/>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c r="AA190" s="33"/>
      <c r="AB190" s="33"/>
      <c r="AC190" s="33"/>
      <c r="AD190" s="33"/>
      <c r="AE190" s="33"/>
      <c r="AF190" s="33"/>
      <c r="AG190" s="33"/>
      <c r="AH190" s="33"/>
      <c r="AI190" s="33"/>
      <c r="AJ190" s="33"/>
    </row>
    <row r="191" spans="2:39" ht="65.400000000000006" customHeight="1" x14ac:dyDescent="0.3">
      <c r="B191" s="31"/>
      <c r="C191" s="56" t="s">
        <v>187</v>
      </c>
      <c r="D191" s="56"/>
      <c r="E191" s="56"/>
      <c r="F191" s="56"/>
      <c r="G191" s="56"/>
      <c r="H191" s="56"/>
      <c r="I191" s="56"/>
      <c r="J191" s="56"/>
      <c r="K191" s="56"/>
      <c r="L191" s="56"/>
      <c r="M191" s="56"/>
      <c r="N191" s="56"/>
      <c r="O191" s="56"/>
      <c r="P191" s="56"/>
      <c r="Q191" s="56"/>
      <c r="R191" s="56"/>
      <c r="S191" s="56"/>
      <c r="T191" s="56"/>
      <c r="U191" s="56"/>
      <c r="V191" s="56"/>
      <c r="W191" s="56"/>
      <c r="X191" s="56"/>
      <c r="Y191" s="56"/>
      <c r="Z191" s="56"/>
      <c r="AA191" s="56"/>
      <c r="AB191" s="56"/>
      <c r="AC191" s="56"/>
      <c r="AD191" s="56"/>
      <c r="AE191" s="56"/>
      <c r="AF191" s="56"/>
      <c r="AG191" s="56"/>
      <c r="AH191" s="33"/>
      <c r="AI191" s="33"/>
      <c r="AJ191" s="33"/>
    </row>
    <row r="192" spans="2:39" ht="12" hidden="1" x14ac:dyDescent="0.3">
      <c r="B192" s="3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33"/>
      <c r="AI192" s="33"/>
      <c r="AJ192" s="33"/>
    </row>
    <row r="193" spans="2:39" ht="12" hidden="1" x14ac:dyDescent="0.3">
      <c r="B193" s="31" t="s">
        <v>121</v>
      </c>
      <c r="C193" s="33"/>
      <c r="D193" s="33"/>
      <c r="E193" s="33"/>
      <c r="F193" s="33"/>
      <c r="G193" s="33"/>
      <c r="H193" s="33"/>
      <c r="I193" s="33"/>
      <c r="J193" s="33"/>
      <c r="K193" s="33"/>
      <c r="L193" s="33"/>
      <c r="M193" s="33"/>
      <c r="N193" s="33"/>
      <c r="O193" s="33"/>
      <c r="P193" s="11"/>
      <c r="Q193" s="33"/>
      <c r="R193" s="33"/>
      <c r="S193" s="33"/>
      <c r="T193" s="33"/>
      <c r="U193" s="33"/>
      <c r="V193" s="33"/>
      <c r="W193" s="33"/>
      <c r="X193" s="33"/>
      <c r="Y193" s="33"/>
      <c r="Z193" s="33"/>
      <c r="AA193" s="33"/>
      <c r="AB193" s="33"/>
      <c r="AC193" s="33"/>
      <c r="AD193" s="33"/>
      <c r="AE193" s="33"/>
      <c r="AF193" s="33"/>
      <c r="AG193" s="33"/>
      <c r="AH193" s="33"/>
      <c r="AI193" s="33"/>
      <c r="AJ193" s="33"/>
    </row>
    <row r="194" spans="2:39" ht="15.6" x14ac:dyDescent="0.3">
      <c r="B194" s="29"/>
      <c r="C194" s="43" t="s">
        <v>186</v>
      </c>
      <c r="D194" s="43"/>
      <c r="E194" s="43"/>
      <c r="F194" s="43"/>
      <c r="G194" s="43"/>
      <c r="H194" s="43"/>
      <c r="I194" s="43"/>
      <c r="J194" s="43"/>
      <c r="K194" s="43"/>
      <c r="L194" s="43"/>
      <c r="M194" s="43"/>
      <c r="N194" s="43"/>
      <c r="O194" s="43"/>
      <c r="P194" s="45" t="s">
        <v>122</v>
      </c>
      <c r="Q194" s="45"/>
      <c r="R194" s="45"/>
      <c r="S194" s="45"/>
      <c r="T194" s="45" t="s">
        <v>123</v>
      </c>
      <c r="U194" s="45"/>
      <c r="V194" s="45"/>
      <c r="W194" s="45"/>
      <c r="X194" s="45" t="s">
        <v>124</v>
      </c>
      <c r="Y194" s="45"/>
      <c r="Z194" s="45"/>
      <c r="AA194" s="45"/>
      <c r="AB194" s="45" t="s">
        <v>125</v>
      </c>
      <c r="AC194" s="45"/>
      <c r="AD194" s="45"/>
      <c r="AE194" s="45"/>
      <c r="AF194" s="33"/>
      <c r="AG194" s="33"/>
      <c r="AH194" s="33"/>
      <c r="AI194" s="33"/>
      <c r="AJ194" s="33"/>
    </row>
    <row r="195" spans="2:39" x14ac:dyDescent="0.3">
      <c r="B195" s="14"/>
      <c r="C195" s="66" t="s">
        <v>148</v>
      </c>
      <c r="D195" s="66"/>
      <c r="E195" s="66"/>
      <c r="F195" s="66"/>
      <c r="G195" s="66"/>
      <c r="H195" s="66"/>
      <c r="I195" s="66"/>
      <c r="J195" s="66"/>
      <c r="K195" s="66"/>
      <c r="L195" s="66"/>
      <c r="M195" s="66"/>
      <c r="N195" s="66"/>
      <c r="O195" s="66"/>
      <c r="P195" s="48">
        <v>0</v>
      </c>
      <c r="Q195" s="48"/>
      <c r="R195" s="48"/>
      <c r="S195" s="48"/>
      <c r="T195" s="48">
        <v>3</v>
      </c>
      <c r="U195" s="48"/>
      <c r="V195" s="48"/>
      <c r="W195" s="48"/>
      <c r="X195" s="48">
        <v>5</v>
      </c>
      <c r="Y195" s="48"/>
      <c r="Z195" s="48"/>
      <c r="AA195" s="48"/>
      <c r="AB195" s="48">
        <v>10</v>
      </c>
      <c r="AC195" s="48"/>
      <c r="AD195" s="48"/>
      <c r="AE195" s="48"/>
      <c r="AF195" s="33"/>
      <c r="AG195" s="33"/>
      <c r="AH195" s="33"/>
      <c r="AI195" s="33"/>
      <c r="AJ195" s="33"/>
      <c r="AM195" s="3">
        <f>IF($B195="Not Applicable", 0, IF($B195="Limited", $P195, IF($B195="Occasional", $T195, IF($B195="Frequent", $X195, IF($B195="Continuous", $AB195, 0)))))</f>
        <v>0</v>
      </c>
    </row>
    <row r="196" spans="2:39" x14ac:dyDescent="0.3">
      <c r="B196" s="14"/>
      <c r="C196" s="75" t="s">
        <v>149</v>
      </c>
      <c r="D196" s="75"/>
      <c r="E196" s="75"/>
      <c r="F196" s="75"/>
      <c r="G196" s="75"/>
      <c r="H196" s="75"/>
      <c r="I196" s="75"/>
      <c r="J196" s="75"/>
      <c r="K196" s="75"/>
      <c r="L196" s="75"/>
      <c r="M196" s="75"/>
      <c r="N196" s="75"/>
      <c r="O196" s="75"/>
      <c r="P196" s="54">
        <v>3</v>
      </c>
      <c r="Q196" s="54"/>
      <c r="R196" s="54"/>
      <c r="S196" s="54"/>
      <c r="T196" s="54">
        <v>5</v>
      </c>
      <c r="U196" s="54"/>
      <c r="V196" s="54"/>
      <c r="W196" s="54"/>
      <c r="X196" s="54">
        <v>10</v>
      </c>
      <c r="Y196" s="54"/>
      <c r="Z196" s="54"/>
      <c r="AA196" s="54"/>
      <c r="AB196" s="54">
        <v>15</v>
      </c>
      <c r="AC196" s="54"/>
      <c r="AD196" s="54"/>
      <c r="AE196" s="54"/>
      <c r="AF196" s="33"/>
      <c r="AG196" s="33"/>
      <c r="AH196" s="33"/>
      <c r="AI196" s="33"/>
      <c r="AJ196" s="33"/>
      <c r="AM196" s="3">
        <f>IF($B196="Not Applicable", 0, IF($B196="Limited", $P196, IF($B196="Occasional", $T196, IF($B196="Frequent", $X196, IF($B196="Continuous", $AB196, 0)))))</f>
        <v>0</v>
      </c>
    </row>
    <row r="197" spans="2:39" x14ac:dyDescent="0.3">
      <c r="B197" s="14"/>
      <c r="C197" s="66" t="s">
        <v>150</v>
      </c>
      <c r="D197" s="66"/>
      <c r="E197" s="66"/>
      <c r="F197" s="66"/>
      <c r="G197" s="66"/>
      <c r="H197" s="66"/>
      <c r="I197" s="66"/>
      <c r="J197" s="66"/>
      <c r="K197" s="66"/>
      <c r="L197" s="66"/>
      <c r="M197" s="66"/>
      <c r="N197" s="66"/>
      <c r="O197" s="66"/>
      <c r="P197" s="48">
        <v>5</v>
      </c>
      <c r="Q197" s="48"/>
      <c r="R197" s="48"/>
      <c r="S197" s="48"/>
      <c r="T197" s="48">
        <v>10</v>
      </c>
      <c r="U197" s="48"/>
      <c r="V197" s="48"/>
      <c r="W197" s="48"/>
      <c r="X197" s="48">
        <v>15</v>
      </c>
      <c r="Y197" s="48"/>
      <c r="Z197" s="48"/>
      <c r="AA197" s="48"/>
      <c r="AB197" s="48">
        <v>20</v>
      </c>
      <c r="AC197" s="48"/>
      <c r="AD197" s="48"/>
      <c r="AE197" s="48"/>
      <c r="AF197" s="33"/>
      <c r="AG197" s="33"/>
      <c r="AH197" s="33"/>
      <c r="AI197" s="33"/>
      <c r="AJ197" s="33"/>
      <c r="AM197" s="3">
        <f>IF($B197="Not Applicable", 0, IF($B197="Limited", $P197, IF($B197="Occasional", $T197, IF($B197="Frequent", $X197, IF($B197="Continuous", $AB197, 0)))))</f>
        <v>0</v>
      </c>
    </row>
    <row r="198" spans="2:39" x14ac:dyDescent="0.3">
      <c r="B198" s="14"/>
      <c r="C198" s="75" t="s">
        <v>151</v>
      </c>
      <c r="D198" s="75"/>
      <c r="E198" s="75"/>
      <c r="F198" s="75"/>
      <c r="G198" s="75"/>
      <c r="H198" s="75"/>
      <c r="I198" s="75"/>
      <c r="J198" s="75"/>
      <c r="K198" s="75"/>
      <c r="L198" s="75"/>
      <c r="M198" s="75"/>
      <c r="N198" s="75"/>
      <c r="O198" s="75"/>
      <c r="P198" s="54">
        <v>10</v>
      </c>
      <c r="Q198" s="54"/>
      <c r="R198" s="54"/>
      <c r="S198" s="54"/>
      <c r="T198" s="54">
        <v>15</v>
      </c>
      <c r="U198" s="54"/>
      <c r="V198" s="54"/>
      <c r="W198" s="54"/>
      <c r="X198" s="54">
        <v>20</v>
      </c>
      <c r="Y198" s="54"/>
      <c r="Z198" s="54"/>
      <c r="AA198" s="54"/>
      <c r="AB198" s="54">
        <v>25</v>
      </c>
      <c r="AC198" s="54"/>
      <c r="AD198" s="54"/>
      <c r="AE198" s="54"/>
      <c r="AF198" s="33"/>
      <c r="AG198" s="33"/>
      <c r="AH198" s="33"/>
      <c r="AI198" s="33"/>
      <c r="AJ198" s="33"/>
      <c r="AM198" s="3">
        <f>IF($B198="Not Applicable", 0, IF($B198="Limited", $P198, IF($B198="Occasional", $T198, IF($B198="Frequent", $X198, IF($B198="Continuous", $AB198, 0)))))</f>
        <v>0</v>
      </c>
    </row>
    <row r="199" spans="2:39" x14ac:dyDescent="0.3">
      <c r="B199" s="31"/>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c r="AA199" s="33"/>
      <c r="AB199" s="33"/>
      <c r="AC199" s="33"/>
      <c r="AD199" s="33"/>
      <c r="AE199" s="33"/>
      <c r="AF199" s="33"/>
      <c r="AG199" s="33"/>
      <c r="AH199" s="33"/>
      <c r="AI199" s="33"/>
      <c r="AJ199" s="33"/>
      <c r="AM199" s="15">
        <f>SUM(AM195:AM198)</f>
        <v>0</v>
      </c>
    </row>
    <row r="200" spans="2:39" hidden="1" x14ac:dyDescent="0.3">
      <c r="B200" s="31"/>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c r="AA200" s="33"/>
      <c r="AB200" s="33"/>
      <c r="AC200" s="33"/>
      <c r="AD200" s="33"/>
      <c r="AE200" s="33"/>
      <c r="AF200" s="33"/>
      <c r="AG200" s="33"/>
      <c r="AH200" s="33"/>
      <c r="AI200" s="33"/>
      <c r="AJ200" s="33"/>
    </row>
    <row r="201" spans="2:39" x14ac:dyDescent="0.3">
      <c r="B201" s="31"/>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c r="AG201" s="33"/>
      <c r="AH201" s="33"/>
      <c r="AI201" s="33"/>
      <c r="AJ201" s="33"/>
    </row>
    <row r="202" spans="2:39" ht="15.6" x14ac:dyDescent="0.3">
      <c r="B202" s="3"/>
      <c r="C202" s="74" t="s">
        <v>152</v>
      </c>
      <c r="D202" s="74"/>
      <c r="E202" s="74"/>
      <c r="F202" s="74"/>
      <c r="G202" s="74"/>
      <c r="H202" s="74"/>
      <c r="I202" s="74"/>
      <c r="J202" s="74"/>
      <c r="K202" s="74"/>
      <c r="L202" s="74"/>
      <c r="M202" s="74"/>
      <c r="N202" s="74"/>
      <c r="O202" s="74"/>
      <c r="P202" s="74"/>
      <c r="Q202" s="74"/>
      <c r="R202" s="74"/>
      <c r="S202" s="74"/>
      <c r="T202" s="74"/>
      <c r="U202" s="74"/>
      <c r="V202" s="74"/>
      <c r="W202" s="74"/>
      <c r="X202" s="74"/>
      <c r="Y202" s="74"/>
      <c r="Z202" s="74"/>
      <c r="AA202" s="74"/>
      <c r="AB202" s="74"/>
      <c r="AC202" s="74"/>
      <c r="AD202" s="74"/>
      <c r="AE202" s="74"/>
      <c r="AF202" s="74"/>
      <c r="AG202" s="74"/>
      <c r="AH202" s="33"/>
      <c r="AI202" s="33"/>
      <c r="AJ202" s="33"/>
    </row>
    <row r="203" spans="2:39" x14ac:dyDescent="0.3">
      <c r="B203" s="31"/>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c r="AG203" s="33"/>
      <c r="AH203" s="33"/>
      <c r="AI203" s="33"/>
      <c r="AJ203" s="33"/>
    </row>
    <row r="204" spans="2:39" ht="13.8" x14ac:dyDescent="0.3">
      <c r="B204" s="31"/>
      <c r="C204" s="76" t="s">
        <v>153</v>
      </c>
      <c r="D204" s="76"/>
      <c r="E204" s="76"/>
      <c r="F204" s="76"/>
      <c r="G204" s="76"/>
      <c r="H204" s="76"/>
      <c r="I204" s="76"/>
      <c r="J204" s="76"/>
      <c r="K204" s="76"/>
      <c r="L204" s="76"/>
      <c r="M204" s="76"/>
      <c r="N204" s="76"/>
      <c r="O204" s="76"/>
      <c r="P204" s="77" t="s">
        <v>154</v>
      </c>
      <c r="Q204" s="77"/>
      <c r="R204" s="77"/>
      <c r="S204" s="77"/>
      <c r="T204" s="33"/>
      <c r="U204" s="33"/>
      <c r="V204" s="33"/>
      <c r="W204" s="33"/>
      <c r="X204" s="33"/>
      <c r="Y204" s="33"/>
      <c r="Z204" s="33"/>
      <c r="AA204" s="33"/>
      <c r="AB204" s="33"/>
      <c r="AC204" s="33"/>
      <c r="AD204" s="33"/>
      <c r="AE204" s="33"/>
      <c r="AF204" s="33"/>
      <c r="AG204" s="33"/>
      <c r="AH204" s="33"/>
      <c r="AI204" s="33"/>
      <c r="AJ204" s="33"/>
    </row>
    <row r="205" spans="2:39" ht="13.2" x14ac:dyDescent="0.3">
      <c r="B205" s="31"/>
      <c r="C205" s="78" t="s">
        <v>155</v>
      </c>
      <c r="D205" s="78"/>
      <c r="E205" s="78"/>
      <c r="F205" s="78"/>
      <c r="G205" s="78"/>
      <c r="H205" s="78"/>
      <c r="I205" s="78"/>
      <c r="J205" s="78"/>
      <c r="K205" s="78"/>
      <c r="L205" s="78"/>
      <c r="M205" s="78"/>
      <c r="N205" s="78"/>
      <c r="O205" s="78"/>
      <c r="P205" s="48">
        <f>$AM32</f>
        <v>0</v>
      </c>
      <c r="Q205" s="48"/>
      <c r="R205" s="48"/>
      <c r="S205" s="48"/>
      <c r="T205" s="33"/>
      <c r="U205" s="33"/>
      <c r="V205" s="33"/>
      <c r="W205" s="33"/>
      <c r="X205" s="33"/>
      <c r="Y205" s="33"/>
      <c r="Z205" s="33"/>
      <c r="AA205" s="33"/>
      <c r="AB205" s="33"/>
      <c r="AC205" s="33"/>
      <c r="AD205" s="33"/>
      <c r="AE205" s="33"/>
      <c r="AF205" s="33"/>
      <c r="AG205" s="33"/>
      <c r="AH205" s="33"/>
      <c r="AI205" s="33"/>
      <c r="AJ205" s="33"/>
    </row>
    <row r="206" spans="2:39" ht="13.2" x14ac:dyDescent="0.3">
      <c r="B206" s="31"/>
      <c r="C206" s="79" t="s">
        <v>156</v>
      </c>
      <c r="D206" s="79"/>
      <c r="E206" s="79"/>
      <c r="F206" s="79"/>
      <c r="G206" s="79"/>
      <c r="H206" s="79"/>
      <c r="I206" s="79"/>
      <c r="J206" s="79"/>
      <c r="K206" s="79"/>
      <c r="L206" s="79"/>
      <c r="M206" s="79"/>
      <c r="N206" s="79"/>
      <c r="O206" s="79"/>
      <c r="P206" s="54">
        <f>$AM43</f>
        <v>0</v>
      </c>
      <c r="Q206" s="54"/>
      <c r="R206" s="54"/>
      <c r="S206" s="54"/>
      <c r="T206" s="33"/>
      <c r="U206" s="33"/>
      <c r="V206" s="33"/>
      <c r="W206" s="33"/>
      <c r="X206" s="33"/>
      <c r="Y206" s="33"/>
      <c r="Z206" s="33"/>
      <c r="AA206" s="33"/>
      <c r="AB206" s="33"/>
      <c r="AC206" s="33"/>
      <c r="AD206" s="33"/>
      <c r="AE206" s="33"/>
      <c r="AF206" s="33"/>
      <c r="AG206" s="33"/>
      <c r="AH206" s="33"/>
      <c r="AI206" s="33"/>
      <c r="AJ206" s="33"/>
    </row>
    <row r="207" spans="2:39" ht="13.2" x14ac:dyDescent="0.3">
      <c r="B207" s="31"/>
      <c r="C207" s="78" t="s">
        <v>157</v>
      </c>
      <c r="D207" s="78"/>
      <c r="E207" s="78"/>
      <c r="F207" s="78"/>
      <c r="G207" s="78"/>
      <c r="H207" s="78"/>
      <c r="I207" s="78"/>
      <c r="J207" s="78"/>
      <c r="K207" s="78"/>
      <c r="L207" s="78"/>
      <c r="M207" s="78"/>
      <c r="N207" s="78"/>
      <c r="O207" s="78"/>
      <c r="P207" s="48">
        <f>$AM67</f>
        <v>0</v>
      </c>
      <c r="Q207" s="48"/>
      <c r="R207" s="48"/>
      <c r="S207" s="48"/>
      <c r="T207" s="33"/>
      <c r="U207" s="33"/>
      <c r="V207" s="33"/>
      <c r="W207" s="33"/>
      <c r="X207" s="33"/>
      <c r="Y207" s="33"/>
      <c r="Z207" s="33"/>
      <c r="AA207" s="33"/>
      <c r="AB207" s="33"/>
      <c r="AC207" s="33"/>
      <c r="AD207" s="33"/>
      <c r="AE207" s="33"/>
      <c r="AF207" s="33"/>
      <c r="AG207" s="33"/>
      <c r="AH207" s="33"/>
      <c r="AI207" s="33"/>
      <c r="AJ207" s="33"/>
    </row>
    <row r="208" spans="2:39" ht="13.2" x14ac:dyDescent="0.3">
      <c r="B208" s="31"/>
      <c r="C208" s="79" t="s">
        <v>158</v>
      </c>
      <c r="D208" s="79"/>
      <c r="E208" s="79"/>
      <c r="F208" s="79"/>
      <c r="G208" s="79"/>
      <c r="H208" s="79"/>
      <c r="I208" s="79"/>
      <c r="J208" s="79"/>
      <c r="K208" s="79"/>
      <c r="L208" s="79"/>
      <c r="M208" s="79"/>
      <c r="N208" s="79"/>
      <c r="O208" s="79"/>
      <c r="P208" s="54">
        <f>$AM89</f>
        <v>0</v>
      </c>
      <c r="Q208" s="54"/>
      <c r="R208" s="54"/>
      <c r="S208" s="54"/>
      <c r="T208" s="33"/>
      <c r="U208" s="33"/>
      <c r="V208" s="33"/>
      <c r="W208" s="33"/>
      <c r="X208" s="33"/>
      <c r="Y208" s="33"/>
      <c r="Z208" s="33"/>
      <c r="AA208" s="33"/>
      <c r="AB208" s="33"/>
      <c r="AC208" s="33"/>
      <c r="AD208" s="33"/>
      <c r="AE208" s="33"/>
      <c r="AF208" s="33"/>
      <c r="AG208" s="33"/>
      <c r="AH208" s="33"/>
      <c r="AI208" s="33"/>
      <c r="AJ208" s="33"/>
    </row>
    <row r="209" spans="2:39" ht="13.2" x14ac:dyDescent="0.3">
      <c r="B209" s="31"/>
      <c r="C209" s="78" t="s">
        <v>159</v>
      </c>
      <c r="D209" s="78"/>
      <c r="E209" s="78"/>
      <c r="F209" s="78"/>
      <c r="G209" s="78"/>
      <c r="H209" s="78"/>
      <c r="I209" s="78"/>
      <c r="J209" s="78"/>
      <c r="K209" s="78"/>
      <c r="L209" s="78"/>
      <c r="M209" s="78"/>
      <c r="N209" s="78"/>
      <c r="O209" s="78"/>
      <c r="P209" s="48">
        <f>$AM105</f>
        <v>0</v>
      </c>
      <c r="Q209" s="48"/>
      <c r="R209" s="48"/>
      <c r="S209" s="48"/>
      <c r="T209" s="33"/>
      <c r="U209" s="33"/>
      <c r="V209" s="33"/>
      <c r="W209" s="33"/>
      <c r="X209" s="33"/>
      <c r="Y209" s="33"/>
      <c r="Z209" s="33"/>
      <c r="AA209" s="33"/>
      <c r="AB209" s="33"/>
      <c r="AC209" s="33"/>
      <c r="AD209" s="33"/>
      <c r="AE209" s="33"/>
      <c r="AF209" s="33"/>
      <c r="AG209" s="33"/>
      <c r="AH209" s="33"/>
      <c r="AI209" s="33"/>
      <c r="AJ209" s="33"/>
    </row>
    <row r="210" spans="2:39" ht="13.2" x14ac:dyDescent="0.3">
      <c r="B210" s="31"/>
      <c r="C210" s="79" t="s">
        <v>160</v>
      </c>
      <c r="D210" s="79"/>
      <c r="E210" s="79"/>
      <c r="F210" s="79"/>
      <c r="G210" s="79"/>
      <c r="H210" s="79"/>
      <c r="I210" s="79"/>
      <c r="J210" s="79"/>
      <c r="K210" s="79"/>
      <c r="L210" s="79"/>
      <c r="M210" s="79"/>
      <c r="N210" s="79"/>
      <c r="O210" s="79"/>
      <c r="P210" s="54">
        <f>$AM121</f>
        <v>0</v>
      </c>
      <c r="Q210" s="54"/>
      <c r="R210" s="54"/>
      <c r="S210" s="54"/>
      <c r="T210" s="33"/>
      <c r="U210" s="33"/>
      <c r="V210" s="33"/>
      <c r="W210" s="33"/>
      <c r="X210" s="33"/>
      <c r="Y210" s="33"/>
      <c r="Z210" s="33"/>
      <c r="AA210" s="33"/>
      <c r="AB210" s="33"/>
      <c r="AC210" s="33"/>
      <c r="AD210" s="33"/>
      <c r="AE210" s="33"/>
      <c r="AF210" s="33"/>
      <c r="AG210" s="33"/>
      <c r="AH210" s="33"/>
      <c r="AI210" s="33"/>
      <c r="AJ210" s="33"/>
    </row>
    <row r="211" spans="2:39" ht="13.2" x14ac:dyDescent="0.3">
      <c r="B211" s="31"/>
      <c r="C211" s="78" t="s">
        <v>161</v>
      </c>
      <c r="D211" s="78"/>
      <c r="E211" s="78"/>
      <c r="F211" s="78"/>
      <c r="G211" s="78"/>
      <c r="H211" s="78"/>
      <c r="I211" s="78"/>
      <c r="J211" s="78"/>
      <c r="K211" s="78"/>
      <c r="L211" s="78"/>
      <c r="M211" s="78"/>
      <c r="N211" s="78"/>
      <c r="O211" s="78"/>
      <c r="P211" s="48">
        <f>$AM146</f>
        <v>0</v>
      </c>
      <c r="Q211" s="48"/>
      <c r="R211" s="48"/>
      <c r="S211" s="48"/>
      <c r="T211" s="33"/>
      <c r="U211" s="33"/>
      <c r="V211" s="33"/>
      <c r="W211" s="33"/>
      <c r="X211" s="33"/>
      <c r="Y211" s="33"/>
      <c r="Z211" s="33"/>
      <c r="AA211" s="33"/>
      <c r="AB211" s="33"/>
      <c r="AC211" s="33"/>
      <c r="AD211" s="33"/>
      <c r="AE211" s="33"/>
      <c r="AF211" s="33"/>
      <c r="AG211" s="33"/>
      <c r="AH211" s="33"/>
      <c r="AI211" s="33"/>
      <c r="AJ211" s="33"/>
    </row>
    <row r="212" spans="2:39" ht="13.2" x14ac:dyDescent="0.3">
      <c r="B212" s="31"/>
      <c r="C212" s="79" t="s">
        <v>162</v>
      </c>
      <c r="D212" s="79"/>
      <c r="E212" s="79"/>
      <c r="F212" s="79"/>
      <c r="G212" s="79"/>
      <c r="H212" s="79"/>
      <c r="I212" s="79"/>
      <c r="J212" s="79"/>
      <c r="K212" s="79"/>
      <c r="L212" s="79"/>
      <c r="M212" s="79"/>
      <c r="N212" s="79"/>
      <c r="O212" s="79"/>
      <c r="P212" s="54">
        <f>$AM160</f>
        <v>0</v>
      </c>
      <c r="Q212" s="54"/>
      <c r="R212" s="54"/>
      <c r="S212" s="54"/>
      <c r="T212" s="33"/>
      <c r="U212" s="33"/>
      <c r="V212" s="33"/>
      <c r="W212" s="33"/>
      <c r="X212" s="33"/>
      <c r="Y212" s="33"/>
      <c r="Z212" s="33"/>
      <c r="AA212" s="33"/>
      <c r="AB212" s="33"/>
      <c r="AC212" s="33"/>
      <c r="AD212" s="33"/>
      <c r="AE212" s="33"/>
      <c r="AF212" s="33"/>
      <c r="AG212" s="33"/>
      <c r="AH212" s="33"/>
      <c r="AI212" s="33"/>
      <c r="AJ212" s="33"/>
      <c r="AM212" s="1"/>
    </row>
    <row r="213" spans="2:39" ht="13.2" x14ac:dyDescent="0.3">
      <c r="B213" s="31"/>
      <c r="C213" s="78" t="s">
        <v>163</v>
      </c>
      <c r="D213" s="78"/>
      <c r="E213" s="78"/>
      <c r="F213" s="78"/>
      <c r="G213" s="78"/>
      <c r="H213" s="78"/>
      <c r="I213" s="78"/>
      <c r="J213" s="78"/>
      <c r="K213" s="78"/>
      <c r="L213" s="78"/>
      <c r="M213" s="78"/>
      <c r="N213" s="78"/>
      <c r="O213" s="78"/>
      <c r="P213" s="48">
        <f>$AM173</f>
        <v>0</v>
      </c>
      <c r="Q213" s="48"/>
      <c r="R213" s="48"/>
      <c r="S213" s="48"/>
      <c r="T213" s="33"/>
      <c r="U213" s="33"/>
      <c r="V213" s="33"/>
      <c r="W213" s="33"/>
      <c r="X213" s="33"/>
      <c r="Y213" s="33"/>
      <c r="Z213" s="33"/>
      <c r="AA213" s="33"/>
      <c r="AB213" s="33"/>
      <c r="AC213" s="33"/>
      <c r="AD213" s="33"/>
      <c r="AE213" s="33"/>
      <c r="AF213" s="33"/>
      <c r="AG213" s="33"/>
      <c r="AH213" s="33"/>
      <c r="AI213" s="33"/>
      <c r="AJ213" s="33"/>
      <c r="AM213" s="1"/>
    </row>
    <row r="214" spans="2:39" ht="13.2" x14ac:dyDescent="0.3">
      <c r="B214" s="31"/>
      <c r="C214" s="79" t="s">
        <v>164</v>
      </c>
      <c r="D214" s="79"/>
      <c r="E214" s="79"/>
      <c r="F214" s="79"/>
      <c r="G214" s="79"/>
      <c r="H214" s="79"/>
      <c r="I214" s="79"/>
      <c r="J214" s="79"/>
      <c r="K214" s="79"/>
      <c r="L214" s="79"/>
      <c r="M214" s="79"/>
      <c r="N214" s="79"/>
      <c r="O214" s="79"/>
      <c r="P214" s="54">
        <f>$AM186</f>
        <v>0</v>
      </c>
      <c r="Q214" s="54"/>
      <c r="R214" s="54"/>
      <c r="S214" s="54"/>
      <c r="T214" s="33"/>
      <c r="U214" s="33"/>
      <c r="V214" s="33"/>
      <c r="W214" s="33"/>
      <c r="X214" s="33"/>
      <c r="Y214" s="33"/>
      <c r="Z214" s="33"/>
      <c r="AA214" s="33"/>
      <c r="AB214" s="33"/>
      <c r="AC214" s="33"/>
      <c r="AD214" s="33"/>
      <c r="AE214" s="33"/>
      <c r="AF214" s="33"/>
      <c r="AG214" s="33"/>
      <c r="AH214" s="33"/>
      <c r="AI214" s="33"/>
      <c r="AJ214" s="33"/>
      <c r="AM214" s="1"/>
    </row>
    <row r="215" spans="2:39" ht="13.2" x14ac:dyDescent="0.3">
      <c r="B215" s="31"/>
      <c r="C215" s="78" t="s">
        <v>165</v>
      </c>
      <c r="D215" s="78"/>
      <c r="E215" s="78"/>
      <c r="F215" s="78"/>
      <c r="G215" s="78"/>
      <c r="H215" s="78"/>
      <c r="I215" s="78"/>
      <c r="J215" s="78"/>
      <c r="K215" s="78"/>
      <c r="L215" s="78"/>
      <c r="M215" s="78"/>
      <c r="N215" s="78"/>
      <c r="O215" s="78"/>
      <c r="P215" s="48">
        <f>$AM199</f>
        <v>0</v>
      </c>
      <c r="Q215" s="48"/>
      <c r="R215" s="48"/>
      <c r="S215" s="48"/>
      <c r="T215" s="33"/>
      <c r="U215" s="33"/>
      <c r="V215" s="33"/>
      <c r="W215" s="33"/>
      <c r="X215" s="33"/>
      <c r="Y215" s="33"/>
      <c r="Z215" s="33"/>
      <c r="AA215" s="33"/>
      <c r="AB215" s="33"/>
      <c r="AC215" s="33"/>
      <c r="AD215" s="33"/>
      <c r="AE215" s="33"/>
      <c r="AF215" s="33"/>
      <c r="AG215" s="33"/>
      <c r="AH215" s="33"/>
      <c r="AI215" s="33"/>
      <c r="AJ215" s="33"/>
      <c r="AM215" s="1"/>
    </row>
    <row r="216" spans="2:39" ht="15.6" x14ac:dyDescent="0.3">
      <c r="B216" s="31"/>
      <c r="C216" s="80" t="s">
        <v>166</v>
      </c>
      <c r="D216" s="80"/>
      <c r="E216" s="80"/>
      <c r="F216" s="80"/>
      <c r="G216" s="80"/>
      <c r="H216" s="80"/>
      <c r="I216" s="80"/>
      <c r="J216" s="80"/>
      <c r="K216" s="80"/>
      <c r="L216" s="80"/>
      <c r="M216" s="80"/>
      <c r="N216" s="80"/>
      <c r="O216" s="80"/>
      <c r="P216" s="80">
        <f>SUM(P205:S215)</f>
        <v>0</v>
      </c>
      <c r="Q216" s="80"/>
      <c r="R216" s="80"/>
      <c r="S216" s="80"/>
      <c r="T216" s="33"/>
      <c r="U216" s="33"/>
      <c r="V216" s="33"/>
      <c r="W216" s="33"/>
      <c r="X216" s="33"/>
      <c r="Y216" s="33"/>
      <c r="Z216" s="33"/>
      <c r="AA216" s="33"/>
      <c r="AB216" s="33"/>
      <c r="AC216" s="33"/>
      <c r="AD216" s="33"/>
      <c r="AE216" s="33"/>
      <c r="AF216" s="33"/>
      <c r="AG216" s="33"/>
      <c r="AH216" s="33"/>
      <c r="AI216" s="33"/>
      <c r="AJ216" s="33"/>
      <c r="AM216" s="1"/>
    </row>
    <row r="217" spans="2:39" x14ac:dyDescent="0.3">
      <c r="B217" s="31"/>
      <c r="C217" s="33"/>
      <c r="D217" s="33"/>
      <c r="E217" s="33"/>
      <c r="F217" s="33"/>
      <c r="G217" s="33"/>
      <c r="H217" s="33"/>
      <c r="I217" s="33"/>
      <c r="J217" s="33"/>
      <c r="K217" s="33"/>
      <c r="L217" s="33"/>
      <c r="M217" s="33"/>
      <c r="N217" s="33"/>
      <c r="O217" s="33"/>
      <c r="P217" s="33"/>
      <c r="Q217" s="27"/>
      <c r="R217" s="27"/>
      <c r="S217" s="27"/>
      <c r="T217" s="27"/>
      <c r="U217" s="27"/>
      <c r="V217" s="27"/>
      <c r="W217" s="27"/>
      <c r="X217" s="33"/>
      <c r="Y217" s="33"/>
      <c r="Z217" s="33"/>
      <c r="AA217" s="33"/>
      <c r="AB217" s="33"/>
      <c r="AC217" s="33"/>
      <c r="AD217" s="33"/>
      <c r="AE217" s="33"/>
      <c r="AF217" s="33"/>
      <c r="AG217" s="33"/>
      <c r="AH217" s="33"/>
      <c r="AI217" s="33"/>
      <c r="AJ217" s="33"/>
      <c r="AM217" s="1"/>
    </row>
    <row r="218" spans="2:39" x14ac:dyDescent="0.3">
      <c r="B218" s="31"/>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c r="AH218" s="33"/>
      <c r="AI218" s="33"/>
      <c r="AJ218" s="33"/>
      <c r="AM218" s="1"/>
    </row>
    <row r="219" spans="2:39" x14ac:dyDescent="0.3">
      <c r="B219" s="31"/>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c r="AH219" s="33"/>
      <c r="AI219" s="33"/>
      <c r="AJ219" s="33"/>
      <c r="AM219" s="1"/>
    </row>
    <row r="220" spans="2:39" x14ac:dyDescent="0.3">
      <c r="B220" s="31"/>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c r="AG220" s="33"/>
      <c r="AH220" s="33"/>
      <c r="AI220" s="33"/>
      <c r="AJ220" s="33"/>
      <c r="AM220" s="1"/>
    </row>
    <row r="221" spans="2:39" ht="13.8" x14ac:dyDescent="0.3">
      <c r="B221" s="31"/>
      <c r="C221" s="81" t="s">
        <v>167</v>
      </c>
      <c r="D221" s="81"/>
      <c r="E221" s="81"/>
      <c r="F221" s="81"/>
      <c r="G221" s="81" t="s">
        <v>168</v>
      </c>
      <c r="H221" s="81"/>
      <c r="I221" s="81"/>
      <c r="J221" s="81"/>
      <c r="K221" s="81"/>
      <c r="L221" s="81"/>
      <c r="M221" s="81"/>
      <c r="N221" s="82" t="s">
        <v>169</v>
      </c>
      <c r="O221" s="82"/>
      <c r="P221" s="82"/>
      <c r="Q221" s="82"/>
      <c r="R221" s="82"/>
      <c r="S221" s="82"/>
      <c r="T221" s="82"/>
      <c r="U221" s="82"/>
      <c r="V221" s="82"/>
      <c r="W221" s="82"/>
      <c r="X221" s="82"/>
      <c r="Y221" s="82"/>
      <c r="Z221" s="82"/>
      <c r="AA221" s="82"/>
      <c r="AB221" s="26"/>
      <c r="AC221" s="26"/>
      <c r="AD221" s="26"/>
      <c r="AE221" s="26"/>
      <c r="AF221" s="26"/>
      <c r="AG221" s="26"/>
      <c r="AH221" s="33"/>
      <c r="AI221" s="33"/>
      <c r="AJ221" s="33"/>
      <c r="AM221" s="1"/>
    </row>
    <row r="222" spans="2:39" ht="13.2" x14ac:dyDescent="0.3">
      <c r="B222" s="31"/>
      <c r="C222" s="83">
        <v>0</v>
      </c>
      <c r="D222" s="83"/>
      <c r="E222" s="83"/>
      <c r="F222" s="83"/>
      <c r="G222" s="83" t="s">
        <v>17</v>
      </c>
      <c r="H222" s="83"/>
      <c r="I222" s="83"/>
      <c r="J222" s="83"/>
      <c r="K222" s="83"/>
      <c r="L222" s="83"/>
      <c r="M222" s="83"/>
      <c r="N222" s="84" t="s">
        <v>16</v>
      </c>
      <c r="O222" s="84"/>
      <c r="P222" s="84"/>
      <c r="Q222" s="84"/>
      <c r="R222" s="84"/>
      <c r="S222" s="84"/>
      <c r="T222" s="84"/>
      <c r="U222" s="84"/>
      <c r="V222" s="84"/>
      <c r="W222" s="84"/>
      <c r="X222" s="84"/>
      <c r="Y222" s="84"/>
      <c r="Z222" s="84"/>
      <c r="AA222" s="84"/>
      <c r="AB222" s="36"/>
      <c r="AC222" s="36"/>
      <c r="AD222" s="36"/>
      <c r="AE222" s="36"/>
      <c r="AF222" s="36"/>
      <c r="AG222" s="36"/>
      <c r="AH222" s="33"/>
      <c r="AI222" s="33"/>
      <c r="AJ222" s="33"/>
      <c r="AM222" s="1"/>
    </row>
    <row r="223" spans="2:39" ht="13.2" x14ac:dyDescent="0.3">
      <c r="B223" s="31"/>
      <c r="C223" s="83" t="s">
        <v>170</v>
      </c>
      <c r="D223" s="83"/>
      <c r="E223" s="83"/>
      <c r="F223" s="83"/>
      <c r="G223" s="83" t="s">
        <v>19</v>
      </c>
      <c r="H223" s="83"/>
      <c r="I223" s="83"/>
      <c r="J223" s="83"/>
      <c r="K223" s="83"/>
      <c r="L223" s="83"/>
      <c r="M223" s="83"/>
      <c r="N223" s="84" t="s">
        <v>171</v>
      </c>
      <c r="O223" s="84"/>
      <c r="P223" s="84"/>
      <c r="Q223" s="84"/>
      <c r="R223" s="84"/>
      <c r="S223" s="84"/>
      <c r="T223" s="84"/>
      <c r="U223" s="84"/>
      <c r="V223" s="84"/>
      <c r="W223" s="84"/>
      <c r="X223" s="84"/>
      <c r="Y223" s="84"/>
      <c r="Z223" s="84"/>
      <c r="AA223" s="84"/>
      <c r="AB223" s="36"/>
      <c r="AC223" s="36"/>
      <c r="AD223" s="36"/>
      <c r="AE223" s="36"/>
      <c r="AF223" s="36"/>
      <c r="AG223" s="36"/>
      <c r="AH223" s="33"/>
      <c r="AI223" s="33"/>
      <c r="AJ223" s="33"/>
      <c r="AM223" s="1"/>
    </row>
    <row r="224" spans="2:39" ht="13.2" x14ac:dyDescent="0.3">
      <c r="B224" s="31"/>
      <c r="C224" s="83" t="s">
        <v>172</v>
      </c>
      <c r="D224" s="83"/>
      <c r="E224" s="83"/>
      <c r="F224" s="83"/>
      <c r="G224" s="83" t="s">
        <v>23</v>
      </c>
      <c r="H224" s="83"/>
      <c r="I224" s="83"/>
      <c r="J224" s="83"/>
      <c r="K224" s="83"/>
      <c r="L224" s="83"/>
      <c r="M224" s="83"/>
      <c r="N224" s="84" t="s">
        <v>173</v>
      </c>
      <c r="O224" s="84"/>
      <c r="P224" s="84"/>
      <c r="Q224" s="84"/>
      <c r="R224" s="84"/>
      <c r="S224" s="84"/>
      <c r="T224" s="84"/>
      <c r="U224" s="84"/>
      <c r="V224" s="84"/>
      <c r="W224" s="84"/>
      <c r="X224" s="84"/>
      <c r="Y224" s="84"/>
      <c r="Z224" s="84"/>
      <c r="AA224" s="84"/>
      <c r="AB224" s="36"/>
      <c r="AC224" s="36"/>
      <c r="AD224" s="36"/>
      <c r="AE224" s="36"/>
      <c r="AF224" s="36"/>
      <c r="AG224" s="36"/>
      <c r="AH224" s="33"/>
      <c r="AI224" s="33"/>
      <c r="AJ224" s="33"/>
      <c r="AM224" s="1"/>
    </row>
    <row r="225" spans="2:39" ht="13.2" x14ac:dyDescent="0.3">
      <c r="B225" s="31"/>
      <c r="C225" s="83" t="s">
        <v>174</v>
      </c>
      <c r="D225" s="83"/>
      <c r="E225" s="83"/>
      <c r="F225" s="83"/>
      <c r="G225" s="83" t="s">
        <v>27</v>
      </c>
      <c r="H225" s="83"/>
      <c r="I225" s="83"/>
      <c r="J225" s="83"/>
      <c r="K225" s="83"/>
      <c r="L225" s="83"/>
      <c r="M225" s="83"/>
      <c r="N225" s="84" t="s">
        <v>175</v>
      </c>
      <c r="O225" s="84"/>
      <c r="P225" s="84"/>
      <c r="Q225" s="84"/>
      <c r="R225" s="84"/>
      <c r="S225" s="84"/>
      <c r="T225" s="84"/>
      <c r="U225" s="84"/>
      <c r="V225" s="84"/>
      <c r="W225" s="84"/>
      <c r="X225" s="84"/>
      <c r="Y225" s="84"/>
      <c r="Z225" s="84"/>
      <c r="AA225" s="84"/>
      <c r="AB225" s="36"/>
      <c r="AC225" s="36"/>
      <c r="AD225" s="36"/>
      <c r="AE225" s="36"/>
      <c r="AF225" s="36"/>
      <c r="AG225" s="36"/>
      <c r="AH225" s="33"/>
      <c r="AI225" s="33"/>
      <c r="AJ225" s="33"/>
      <c r="AM225" s="1"/>
    </row>
    <row r="226" spans="2:39" ht="13.2" x14ac:dyDescent="0.3">
      <c r="B226" s="31"/>
      <c r="C226" s="83" t="s">
        <v>176</v>
      </c>
      <c r="D226" s="83"/>
      <c r="E226" s="83"/>
      <c r="F226" s="83"/>
      <c r="G226" s="83" t="s">
        <v>31</v>
      </c>
      <c r="H226" s="83"/>
      <c r="I226" s="83"/>
      <c r="J226" s="83"/>
      <c r="K226" s="83"/>
      <c r="L226" s="83"/>
      <c r="M226" s="83"/>
      <c r="N226" s="84" t="s">
        <v>177</v>
      </c>
      <c r="O226" s="84"/>
      <c r="P226" s="84"/>
      <c r="Q226" s="84"/>
      <c r="R226" s="84"/>
      <c r="S226" s="84"/>
      <c r="T226" s="84"/>
      <c r="U226" s="84"/>
      <c r="V226" s="84"/>
      <c r="W226" s="84"/>
      <c r="X226" s="84"/>
      <c r="Y226" s="84"/>
      <c r="Z226" s="84"/>
      <c r="AA226" s="84"/>
      <c r="AB226" s="36"/>
      <c r="AC226" s="36"/>
      <c r="AD226" s="36"/>
      <c r="AE226" s="36"/>
      <c r="AF226" s="36"/>
      <c r="AG226" s="36"/>
      <c r="AH226" s="33"/>
      <c r="AI226" s="33"/>
      <c r="AJ226" s="33"/>
      <c r="AM226" s="1"/>
    </row>
    <row r="227" spans="2:39" ht="13.2" x14ac:dyDescent="0.3">
      <c r="B227" s="31"/>
      <c r="C227" s="83" t="s">
        <v>178</v>
      </c>
      <c r="D227" s="83"/>
      <c r="E227" s="83"/>
      <c r="F227" s="83"/>
      <c r="G227" s="83" t="s">
        <v>35</v>
      </c>
      <c r="H227" s="83"/>
      <c r="I227" s="83"/>
      <c r="J227" s="83"/>
      <c r="K227" s="83"/>
      <c r="L227" s="83"/>
      <c r="M227" s="83"/>
      <c r="N227" s="84" t="s">
        <v>179</v>
      </c>
      <c r="O227" s="84"/>
      <c r="P227" s="84"/>
      <c r="Q227" s="84"/>
      <c r="R227" s="84"/>
      <c r="S227" s="84"/>
      <c r="T227" s="84"/>
      <c r="U227" s="84"/>
      <c r="V227" s="84"/>
      <c r="W227" s="84"/>
      <c r="X227" s="84"/>
      <c r="Y227" s="84"/>
      <c r="Z227" s="84"/>
      <c r="AA227" s="84"/>
      <c r="AB227" s="36"/>
      <c r="AC227" s="36"/>
      <c r="AD227" s="36"/>
      <c r="AE227" s="36"/>
      <c r="AF227" s="36"/>
      <c r="AG227" s="36"/>
      <c r="AH227" s="33"/>
      <c r="AI227" s="33"/>
      <c r="AJ227" s="33"/>
      <c r="AM227" s="1"/>
    </row>
    <row r="228" spans="2:39" ht="13.2" x14ac:dyDescent="0.3">
      <c r="B228" s="31"/>
      <c r="C228" s="83" t="s">
        <v>180</v>
      </c>
      <c r="D228" s="83"/>
      <c r="E228" s="83"/>
      <c r="F228" s="83"/>
      <c r="G228" s="83" t="s">
        <v>39</v>
      </c>
      <c r="H228" s="83"/>
      <c r="I228" s="83"/>
      <c r="J228" s="83"/>
      <c r="K228" s="83"/>
      <c r="L228" s="83"/>
      <c r="M228" s="83"/>
      <c r="N228" s="84" t="s">
        <v>181</v>
      </c>
      <c r="O228" s="84"/>
      <c r="P228" s="84"/>
      <c r="Q228" s="84"/>
      <c r="R228" s="84"/>
      <c r="S228" s="84"/>
      <c r="T228" s="84"/>
      <c r="U228" s="84"/>
      <c r="V228" s="84"/>
      <c r="W228" s="84"/>
      <c r="X228" s="84"/>
      <c r="Y228" s="84"/>
      <c r="Z228" s="84"/>
      <c r="AA228" s="84"/>
      <c r="AB228" s="36"/>
      <c r="AC228" s="36"/>
      <c r="AD228" s="36"/>
      <c r="AE228" s="36"/>
      <c r="AF228" s="36"/>
      <c r="AG228" s="36"/>
      <c r="AH228" s="33"/>
      <c r="AI228" s="33"/>
      <c r="AJ228" s="33"/>
      <c r="AM228" s="1"/>
    </row>
    <row r="229" spans="2:39" ht="13.2" x14ac:dyDescent="0.3">
      <c r="B229" s="31"/>
      <c r="C229" s="83" t="s">
        <v>182</v>
      </c>
      <c r="D229" s="83"/>
      <c r="E229" s="83"/>
      <c r="F229" s="83"/>
      <c r="G229" s="83" t="s">
        <v>43</v>
      </c>
      <c r="H229" s="83"/>
      <c r="I229" s="83"/>
      <c r="J229" s="83"/>
      <c r="K229" s="83"/>
      <c r="L229" s="83"/>
      <c r="M229" s="83"/>
      <c r="N229" s="84" t="s">
        <v>183</v>
      </c>
      <c r="O229" s="84"/>
      <c r="P229" s="84"/>
      <c r="Q229" s="84"/>
      <c r="R229" s="84"/>
      <c r="S229" s="84"/>
      <c r="T229" s="84"/>
      <c r="U229" s="84"/>
      <c r="V229" s="84"/>
      <c r="W229" s="84"/>
      <c r="X229" s="84"/>
      <c r="Y229" s="84"/>
      <c r="Z229" s="84"/>
      <c r="AA229" s="84"/>
      <c r="AB229" s="36"/>
      <c r="AC229" s="36"/>
      <c r="AD229" s="36"/>
      <c r="AE229" s="36"/>
      <c r="AF229" s="36"/>
      <c r="AG229" s="36"/>
      <c r="AH229" s="33"/>
      <c r="AI229" s="33"/>
      <c r="AJ229" s="33"/>
      <c r="AM229" s="1"/>
    </row>
    <row r="230" spans="2:39" x14ac:dyDescent="0.3">
      <c r="B230" s="31"/>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c r="AH230" s="33"/>
      <c r="AI230" s="33"/>
      <c r="AJ230" s="33"/>
      <c r="AM230" s="1"/>
    </row>
    <row r="231" spans="2:39" x14ac:dyDescent="0.3">
      <c r="B231" s="31"/>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c r="AG231" s="33"/>
      <c r="AH231" s="33"/>
      <c r="AI231" s="33"/>
      <c r="AJ231" s="33"/>
      <c r="AM231" s="1"/>
    </row>
    <row r="232" spans="2:39" x14ac:dyDescent="0.3">
      <c r="AM232" s="1"/>
    </row>
  </sheetData>
  <sheetProtection password="CC46" sheet="1" objects="1" scenarios="1"/>
  <mergeCells count="394">
    <mergeCell ref="C229:F229"/>
    <mergeCell ref="G229:M229"/>
    <mergeCell ref="N229:AA229"/>
    <mergeCell ref="C227:F227"/>
    <mergeCell ref="G227:M227"/>
    <mergeCell ref="N227:AA227"/>
    <mergeCell ref="C228:F228"/>
    <mergeCell ref="G228:M228"/>
    <mergeCell ref="N228:AA228"/>
    <mergeCell ref="C225:F225"/>
    <mergeCell ref="G225:M225"/>
    <mergeCell ref="N225:AA225"/>
    <mergeCell ref="C226:F226"/>
    <mergeCell ref="G226:M226"/>
    <mergeCell ref="N226:AA226"/>
    <mergeCell ref="C223:F223"/>
    <mergeCell ref="G223:M223"/>
    <mergeCell ref="N223:AA223"/>
    <mergeCell ref="C224:F224"/>
    <mergeCell ref="G224:M224"/>
    <mergeCell ref="N224:AA224"/>
    <mergeCell ref="C216:O216"/>
    <mergeCell ref="P216:S216"/>
    <mergeCell ref="C221:F221"/>
    <mergeCell ref="G221:M221"/>
    <mergeCell ref="N221:AA221"/>
    <mergeCell ref="C222:F222"/>
    <mergeCell ref="G222:M222"/>
    <mergeCell ref="N222:AA222"/>
    <mergeCell ref="C213:O213"/>
    <mergeCell ref="P213:S213"/>
    <mergeCell ref="C214:O214"/>
    <mergeCell ref="P214:S214"/>
    <mergeCell ref="C215:O215"/>
    <mergeCell ref="P215:S215"/>
    <mergeCell ref="C210:O210"/>
    <mergeCell ref="P210:S210"/>
    <mergeCell ref="C211:O211"/>
    <mergeCell ref="P211:S211"/>
    <mergeCell ref="C212:O212"/>
    <mergeCell ref="P212:S212"/>
    <mergeCell ref="C207:O207"/>
    <mergeCell ref="P207:S207"/>
    <mergeCell ref="C208:O208"/>
    <mergeCell ref="P208:S208"/>
    <mergeCell ref="C209:O209"/>
    <mergeCell ref="P209:S209"/>
    <mergeCell ref="C204:O204"/>
    <mergeCell ref="P204:S204"/>
    <mergeCell ref="C205:O205"/>
    <mergeCell ref="P205:S205"/>
    <mergeCell ref="C206:O206"/>
    <mergeCell ref="P206:S206"/>
    <mergeCell ref="C198:O198"/>
    <mergeCell ref="P198:S198"/>
    <mergeCell ref="T198:W198"/>
    <mergeCell ref="X198:AA198"/>
    <mergeCell ref="AB198:AE198"/>
    <mergeCell ref="C202:AG202"/>
    <mergeCell ref="C196:O196"/>
    <mergeCell ref="P196:S196"/>
    <mergeCell ref="T196:W196"/>
    <mergeCell ref="X196:AA196"/>
    <mergeCell ref="AB196:AE196"/>
    <mergeCell ref="C197:O197"/>
    <mergeCell ref="P197:S197"/>
    <mergeCell ref="T197:W197"/>
    <mergeCell ref="X197:AA197"/>
    <mergeCell ref="AB197:AE197"/>
    <mergeCell ref="P194:S194"/>
    <mergeCell ref="T194:W194"/>
    <mergeCell ref="X194:AA194"/>
    <mergeCell ref="AB194:AE194"/>
    <mergeCell ref="C195:O195"/>
    <mergeCell ref="P195:S195"/>
    <mergeCell ref="T195:W195"/>
    <mergeCell ref="X195:AA195"/>
    <mergeCell ref="AB195:AE195"/>
    <mergeCell ref="C194:O194"/>
    <mergeCell ref="C184:Y184"/>
    <mergeCell ref="AF184:AI184"/>
    <mergeCell ref="C185:Y185"/>
    <mergeCell ref="AF185:AI185"/>
    <mergeCell ref="C189:Q189"/>
    <mergeCell ref="C191:AG191"/>
    <mergeCell ref="C181:Y181"/>
    <mergeCell ref="AF181:AI181"/>
    <mergeCell ref="C182:Y182"/>
    <mergeCell ref="AF182:AI182"/>
    <mergeCell ref="C183:Y183"/>
    <mergeCell ref="AF183:AI183"/>
    <mergeCell ref="C172:Y172"/>
    <mergeCell ref="Z172:AC172"/>
    <mergeCell ref="AF172:AI172"/>
    <mergeCell ref="C176:Q176"/>
    <mergeCell ref="C178:AG178"/>
    <mergeCell ref="C180:O180"/>
    <mergeCell ref="AF180:AI180"/>
    <mergeCell ref="C169:Y169"/>
    <mergeCell ref="Z169:AC169"/>
    <mergeCell ref="AF169:AI169"/>
    <mergeCell ref="C170:Y170"/>
    <mergeCell ref="AF170:AI170"/>
    <mergeCell ref="C171:Y171"/>
    <mergeCell ref="AF171:AI171"/>
    <mergeCell ref="C163:Q163"/>
    <mergeCell ref="C165:AG165"/>
    <mergeCell ref="C167:O167"/>
    <mergeCell ref="AF167:AI167"/>
    <mergeCell ref="C168:Y168"/>
    <mergeCell ref="AF168:AI168"/>
    <mergeCell ref="C159:O159"/>
    <mergeCell ref="P159:S159"/>
    <mergeCell ref="T159:W159"/>
    <mergeCell ref="X159:AA159"/>
    <mergeCell ref="AB159:AE159"/>
    <mergeCell ref="AF159:AI159"/>
    <mergeCell ref="C158:O158"/>
    <mergeCell ref="P158:S158"/>
    <mergeCell ref="T158:W158"/>
    <mergeCell ref="X158:AA158"/>
    <mergeCell ref="AB158:AE158"/>
    <mergeCell ref="AF158:AI158"/>
    <mergeCell ref="C157:O157"/>
    <mergeCell ref="P157:S157"/>
    <mergeCell ref="T157:W157"/>
    <mergeCell ref="X157:AA157"/>
    <mergeCell ref="AB157:AE157"/>
    <mergeCell ref="AF157:AI157"/>
    <mergeCell ref="C156:O156"/>
    <mergeCell ref="P156:S156"/>
    <mergeCell ref="T156:W156"/>
    <mergeCell ref="X156:AA156"/>
    <mergeCell ref="AB156:AE156"/>
    <mergeCell ref="AF156:AI156"/>
    <mergeCell ref="C155:O155"/>
    <mergeCell ref="P155:S155"/>
    <mergeCell ref="T155:W155"/>
    <mergeCell ref="X155:AA155"/>
    <mergeCell ref="AB155:AE155"/>
    <mergeCell ref="AF155:AI155"/>
    <mergeCell ref="P154:S154"/>
    <mergeCell ref="T154:W154"/>
    <mergeCell ref="X154:AA154"/>
    <mergeCell ref="AB154:AE154"/>
    <mergeCell ref="AF154:AI154"/>
    <mergeCell ref="C144:O144"/>
    <mergeCell ref="P144:S144"/>
    <mergeCell ref="C145:O145"/>
    <mergeCell ref="P145:S145"/>
    <mergeCell ref="C149:Q149"/>
    <mergeCell ref="C151:AG151"/>
    <mergeCell ref="C154:O154"/>
    <mergeCell ref="C141:O141"/>
    <mergeCell ref="P141:S141"/>
    <mergeCell ref="C142:O142"/>
    <mergeCell ref="P142:S142"/>
    <mergeCell ref="C143:O143"/>
    <mergeCell ref="P143:S143"/>
    <mergeCell ref="C138:O138"/>
    <mergeCell ref="P138:S138"/>
    <mergeCell ref="C139:O139"/>
    <mergeCell ref="P139:S139"/>
    <mergeCell ref="C140:O140"/>
    <mergeCell ref="P140:S140"/>
    <mergeCell ref="C135:O135"/>
    <mergeCell ref="P135:S135"/>
    <mergeCell ref="C136:O136"/>
    <mergeCell ref="P136:S136"/>
    <mergeCell ref="C137:O137"/>
    <mergeCell ref="P137:S137"/>
    <mergeCell ref="C132:O132"/>
    <mergeCell ref="P132:S132"/>
    <mergeCell ref="C133:O133"/>
    <mergeCell ref="P133:S133"/>
    <mergeCell ref="C134:O134"/>
    <mergeCell ref="P134:S134"/>
    <mergeCell ref="C129:O129"/>
    <mergeCell ref="P129:S129"/>
    <mergeCell ref="C130:O130"/>
    <mergeCell ref="P130:S130"/>
    <mergeCell ref="C131:O131"/>
    <mergeCell ref="P131:S131"/>
    <mergeCell ref="C120:Y120"/>
    <mergeCell ref="Z120:AC120"/>
    <mergeCell ref="AD120:AG120"/>
    <mergeCell ref="C124:Q124"/>
    <mergeCell ref="C126:AG126"/>
    <mergeCell ref="C128:O128"/>
    <mergeCell ref="P128:S128"/>
    <mergeCell ref="C118:Y118"/>
    <mergeCell ref="Z118:AC118"/>
    <mergeCell ref="AD118:AG118"/>
    <mergeCell ref="C119:Y119"/>
    <mergeCell ref="Z119:AC119"/>
    <mergeCell ref="AD119:AG119"/>
    <mergeCell ref="C116:Y116"/>
    <mergeCell ref="Z116:AC116"/>
    <mergeCell ref="AD116:AG116"/>
    <mergeCell ref="C117:Y117"/>
    <mergeCell ref="Z117:AC117"/>
    <mergeCell ref="AD117:AG117"/>
    <mergeCell ref="C114:Y114"/>
    <mergeCell ref="Z114:AC114"/>
    <mergeCell ref="AD114:AG114"/>
    <mergeCell ref="C115:Y115"/>
    <mergeCell ref="Z115:AC115"/>
    <mergeCell ref="AD115:AG115"/>
    <mergeCell ref="C108:Q108"/>
    <mergeCell ref="C110:AG110"/>
    <mergeCell ref="C112:O112"/>
    <mergeCell ref="Z112:AC112"/>
    <mergeCell ref="AD112:AG112"/>
    <mergeCell ref="C113:Y113"/>
    <mergeCell ref="Z113:AC113"/>
    <mergeCell ref="AD113:AG113"/>
    <mergeCell ref="C103:Y103"/>
    <mergeCell ref="Z103:AC103"/>
    <mergeCell ref="AD103:AG103"/>
    <mergeCell ref="C104:Y104"/>
    <mergeCell ref="Z104:AC104"/>
    <mergeCell ref="AD104:AG104"/>
    <mergeCell ref="C101:Y101"/>
    <mergeCell ref="Z101:AC101"/>
    <mergeCell ref="AD101:AG101"/>
    <mergeCell ref="C102:Y102"/>
    <mergeCell ref="Z102:AC102"/>
    <mergeCell ref="AD102:AG102"/>
    <mergeCell ref="C99:Y99"/>
    <mergeCell ref="Z99:AC99"/>
    <mergeCell ref="AD99:AG99"/>
    <mergeCell ref="C100:Y100"/>
    <mergeCell ref="Z100:AC100"/>
    <mergeCell ref="AD100:AG100"/>
    <mergeCell ref="C97:O97"/>
    <mergeCell ref="Z97:AC97"/>
    <mergeCell ref="AD97:AG97"/>
    <mergeCell ref="C98:Y98"/>
    <mergeCell ref="Z98:AC98"/>
    <mergeCell ref="AD98:AG98"/>
    <mergeCell ref="C88:Y88"/>
    <mergeCell ref="Z88:AC88"/>
    <mergeCell ref="AD88:AG88"/>
    <mergeCell ref="C92:Q92"/>
    <mergeCell ref="C94:AG94"/>
    <mergeCell ref="Z96:AC96"/>
    <mergeCell ref="AD96:AG96"/>
    <mergeCell ref="C86:Y86"/>
    <mergeCell ref="Z86:AC86"/>
    <mergeCell ref="AD86:AG86"/>
    <mergeCell ref="C87:O87"/>
    <mergeCell ref="Z87:AC87"/>
    <mergeCell ref="AD87:AG87"/>
    <mergeCell ref="C84:Y84"/>
    <mergeCell ref="Z84:AC84"/>
    <mergeCell ref="AD84:AG84"/>
    <mergeCell ref="C85:O85"/>
    <mergeCell ref="Z85:AC85"/>
    <mergeCell ref="AD85:AG85"/>
    <mergeCell ref="C82:Y82"/>
    <mergeCell ref="Z82:AC82"/>
    <mergeCell ref="AD82:AG82"/>
    <mergeCell ref="C83:O83"/>
    <mergeCell ref="Z83:AC83"/>
    <mergeCell ref="AD83:AG83"/>
    <mergeCell ref="C80:Y80"/>
    <mergeCell ref="Z80:AC80"/>
    <mergeCell ref="AD80:AG80"/>
    <mergeCell ref="C81:O81"/>
    <mergeCell ref="Z81:AC81"/>
    <mergeCell ref="AD81:AG81"/>
    <mergeCell ref="C78:Y78"/>
    <mergeCell ref="Z78:AC78"/>
    <mergeCell ref="AD78:AG78"/>
    <mergeCell ref="C79:O79"/>
    <mergeCell ref="Z79:AC79"/>
    <mergeCell ref="AD79:AG79"/>
    <mergeCell ref="C76:Y76"/>
    <mergeCell ref="Z76:AC76"/>
    <mergeCell ref="AD76:AG76"/>
    <mergeCell ref="C77:O77"/>
    <mergeCell ref="Z77:AC77"/>
    <mergeCell ref="AD77:AG77"/>
    <mergeCell ref="C70:K70"/>
    <mergeCell ref="C72:AG72"/>
    <mergeCell ref="C74:O74"/>
    <mergeCell ref="Z74:AC74"/>
    <mergeCell ref="AD74:AG74"/>
    <mergeCell ref="C75:O75"/>
    <mergeCell ref="Z75:AC75"/>
    <mergeCell ref="AD75:AG75"/>
    <mergeCell ref="C64:O64"/>
    <mergeCell ref="P64:S64"/>
    <mergeCell ref="C65:O65"/>
    <mergeCell ref="P65:S65"/>
    <mergeCell ref="C66:O66"/>
    <mergeCell ref="P66:S66"/>
    <mergeCell ref="C61:O61"/>
    <mergeCell ref="P61:S61"/>
    <mergeCell ref="C62:O62"/>
    <mergeCell ref="P62:S62"/>
    <mergeCell ref="C63:O63"/>
    <mergeCell ref="P63:S63"/>
    <mergeCell ref="C58:O58"/>
    <mergeCell ref="P58:S58"/>
    <mergeCell ref="C59:O59"/>
    <mergeCell ref="P59:S59"/>
    <mergeCell ref="C60:O60"/>
    <mergeCell ref="P60:S60"/>
    <mergeCell ref="C55:O55"/>
    <mergeCell ref="P55:S55"/>
    <mergeCell ref="C56:O56"/>
    <mergeCell ref="P56:S56"/>
    <mergeCell ref="C57:O57"/>
    <mergeCell ref="P57:S57"/>
    <mergeCell ref="C52:O52"/>
    <mergeCell ref="P52:S52"/>
    <mergeCell ref="C53:O53"/>
    <mergeCell ref="P53:S53"/>
    <mergeCell ref="C54:O54"/>
    <mergeCell ref="P54:S54"/>
    <mergeCell ref="C46:O46"/>
    <mergeCell ref="C48:AG48"/>
    <mergeCell ref="C50:O50"/>
    <mergeCell ref="P50:S50"/>
    <mergeCell ref="C51:O51"/>
    <mergeCell ref="P51:S51"/>
    <mergeCell ref="C40:O40"/>
    <mergeCell ref="P40:S40"/>
    <mergeCell ref="C41:O41"/>
    <mergeCell ref="P41:S41"/>
    <mergeCell ref="C42:O42"/>
    <mergeCell ref="P42:S42"/>
    <mergeCell ref="C31:Y31"/>
    <mergeCell ref="Z31:AC31"/>
    <mergeCell ref="AD31:AG31"/>
    <mergeCell ref="C35:N35"/>
    <mergeCell ref="C37:AG37"/>
    <mergeCell ref="C39:O39"/>
    <mergeCell ref="P39:S39"/>
    <mergeCell ref="C29:Y29"/>
    <mergeCell ref="Z29:AC29"/>
    <mergeCell ref="AD29:AG29"/>
    <mergeCell ref="C30:O30"/>
    <mergeCell ref="Z30:AC30"/>
    <mergeCell ref="AD30:AG30"/>
    <mergeCell ref="C27:Y27"/>
    <mergeCell ref="Z27:AC27"/>
    <mergeCell ref="AD27:AG27"/>
    <mergeCell ref="C28:O28"/>
    <mergeCell ref="Z28:AC28"/>
    <mergeCell ref="AD28:AG28"/>
    <mergeCell ref="C25:Y25"/>
    <mergeCell ref="Z25:AC25"/>
    <mergeCell ref="AD25:AG25"/>
    <mergeCell ref="C26:O26"/>
    <mergeCell ref="Z26:AC26"/>
    <mergeCell ref="AD26:AG26"/>
    <mergeCell ref="C23:Y23"/>
    <mergeCell ref="Z23:AC23"/>
    <mergeCell ref="AD23:AG23"/>
    <mergeCell ref="C24:O24"/>
    <mergeCell ref="Z24:AC24"/>
    <mergeCell ref="AD24:AG24"/>
    <mergeCell ref="C21:Y21"/>
    <mergeCell ref="Z21:AC21"/>
    <mergeCell ref="AD21:AG21"/>
    <mergeCell ref="C22:O22"/>
    <mergeCell ref="Z22:AC22"/>
    <mergeCell ref="AD22:AG22"/>
    <mergeCell ref="C19:Y19"/>
    <mergeCell ref="Z19:AC19"/>
    <mergeCell ref="AD19:AG19"/>
    <mergeCell ref="C20:O20"/>
    <mergeCell ref="Z20:AC20"/>
    <mergeCell ref="AD20:AG20"/>
    <mergeCell ref="C18:O18"/>
    <mergeCell ref="Z18:AC18"/>
    <mergeCell ref="AD18:AG18"/>
    <mergeCell ref="C8:AH8"/>
    <mergeCell ref="B9:AI9"/>
    <mergeCell ref="B10:AH10"/>
    <mergeCell ref="C11:AG11"/>
    <mergeCell ref="C13:G13"/>
    <mergeCell ref="C15:AG15"/>
    <mergeCell ref="C1:AJ1"/>
    <mergeCell ref="A2:AG2"/>
    <mergeCell ref="B3:AG3"/>
    <mergeCell ref="B4:AI4"/>
    <mergeCell ref="C6:AH6"/>
    <mergeCell ref="C7:AH7"/>
    <mergeCell ref="C17:O17"/>
    <mergeCell ref="Z17:AC17"/>
    <mergeCell ref="AD17:AG17"/>
  </mergeCells>
  <conditionalFormatting sqref="C224:AA224">
    <cfRule type="expression" dxfId="8" priority="7">
      <formula>IF($P216&gt;250,IF($P216&lt;=300,TRUE,FALSE))</formula>
    </cfRule>
    <cfRule type="expression" dxfId="7" priority="9">
      <formula>IF($P217&gt;0,IF($P217&lt;=250,TRUE,FALSE))</formula>
    </cfRule>
  </conditionalFormatting>
  <conditionalFormatting sqref="C222:AA222">
    <cfRule type="expression" dxfId="6" priority="8">
      <formula>IF($P216=0, TRUE, FALSE)</formula>
    </cfRule>
  </conditionalFormatting>
  <conditionalFormatting sqref="C225:AA225">
    <cfRule type="expression" dxfId="5" priority="6">
      <formula>IF($P216&gt;300,IF($P216&lt;=375,TRUE,FALSE))</formula>
    </cfRule>
  </conditionalFormatting>
  <conditionalFormatting sqref="C226:AA226">
    <cfRule type="expression" dxfId="4" priority="5">
      <formula>IF($P216&gt;375,IF($P216&lt;=480,TRUE,FALSE))</formula>
    </cfRule>
  </conditionalFormatting>
  <conditionalFormatting sqref="C227:AA227">
    <cfRule type="expression" dxfId="3" priority="4">
      <formula>IF($P216&gt;480,IF($P216&lt;=595,TRUE,FALSE))</formula>
    </cfRule>
  </conditionalFormatting>
  <conditionalFormatting sqref="C228:AA228">
    <cfRule type="expression" dxfId="2" priority="3">
      <formula>IF($P216&gt;595,IF($P216&lt;=700,TRUE,FALSE))</formula>
    </cfRule>
  </conditionalFormatting>
  <conditionalFormatting sqref="C229:AA229">
    <cfRule type="expression" dxfId="1" priority="2">
      <formula>IF($P216&gt;700,TRUE,FALSE)</formula>
    </cfRule>
  </conditionalFormatting>
  <conditionalFormatting sqref="C223:AA223">
    <cfRule type="expression" dxfId="0" priority="1">
      <formula>IF($P216&gt;0,IF($P216&lt;=250,TRUE,FALSE))</formula>
    </cfRule>
  </conditionalFormatting>
  <dataValidations count="1">
    <dataValidation type="list" allowBlank="1" showDropDown="1" showInputMessage="1" showErrorMessage="1" errorTitle="Invalid Entry" error="Please enter a X to select" sqref="B18:B31 B40:B42 B51:B66 B75:B88 B97:B104 B113:B120 B129:B145 B168:B172 B181:B185">
      <formula1>"X,x"</formula1>
    </dataValidation>
  </dataValidations>
  <pageMargins left="0.7" right="0.7" top="0.75" bottom="0.75" header="0.3" footer="0.3"/>
  <pageSetup scale="57" orientation="portrait" r:id="rId1"/>
  <rowBreaks count="3" manualBreakCount="3">
    <brk id="33" max="16383" man="1"/>
    <brk id="106" max="16383" man="1"/>
    <brk id="18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heet2.DoClearPreviousEntry">
                <anchor moveWithCells="1">
                  <from>
                    <xdr:col>1</xdr:col>
                    <xdr:colOff>22860</xdr:colOff>
                    <xdr:row>12</xdr:row>
                    <xdr:rowOff>0</xdr:rowOff>
                  </from>
                  <to>
                    <xdr:col>1</xdr:col>
                    <xdr:colOff>906780</xdr:colOff>
                    <xdr:row>12</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HelperList2!$A$2:$A$6</xm:f>
          </x14:formula1>
          <xm:sqref>B159</xm:sqref>
        </x14:dataValidation>
        <x14:dataValidation type="list" allowBlank="1" showInputMessage="1" showErrorMessage="1">
          <x14:formula1>
            <xm:f>HelperList2!$A$2:$A$6</xm:f>
          </x14:formula1>
          <xm:sqref>B195 B196 B197 B198 B155 B156 B157 B158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
  <sheetViews>
    <sheetView workbookViewId="0">
      <selection activeCell="A6" sqref="A6"/>
    </sheetView>
  </sheetViews>
  <sheetFormatPr defaultRowHeight="13.8" x14ac:dyDescent="0.3"/>
  <cols>
    <col min="1" max="1" width="15.44140625" customWidth="1"/>
  </cols>
  <sheetData>
    <row r="1" spans="1:1" x14ac:dyDescent="0.3">
      <c r="A1" s="38" t="s">
        <v>189</v>
      </c>
    </row>
    <row r="3" spans="1:1" x14ac:dyDescent="0.3">
      <c r="A3" t="s">
        <v>122</v>
      </c>
    </row>
    <row r="4" spans="1:1" x14ac:dyDescent="0.3">
      <c r="A4" t="s">
        <v>123</v>
      </c>
    </row>
    <row r="5" spans="1:1" x14ac:dyDescent="0.3">
      <c r="A5" t="s">
        <v>124</v>
      </c>
    </row>
    <row r="6" spans="1:1" x14ac:dyDescent="0.3">
      <c r="A6" t="s">
        <v>125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Responsibility Level_Macro</vt:lpstr>
      <vt:lpstr>APEGA_LevelRatingPoints</vt:lpstr>
    </vt:vector>
  </TitlesOfParts>
  <Company>Aon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Vikhe Sathasivam</dc:creator>
  <cp:lastModifiedBy>Suzanne Thomson</cp:lastModifiedBy>
  <cp:lastPrinted>2016-09-07T14:47:27Z</cp:lastPrinted>
  <dcterms:created xsi:type="dcterms:W3CDTF">2016-05-25T15:23:47Z</dcterms:created>
  <dcterms:modified xsi:type="dcterms:W3CDTF">2016-11-08T21:24:14Z</dcterms:modified>
</cp:coreProperties>
</file>